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00 Course Overview" sheetId="2" state="visible" r:id="rId2"/>
    <sheet xmlns:r="http://schemas.openxmlformats.org/officeDocument/2006/relationships" name="01 Course Setup" sheetId="3" state="visible" r:id="rId3"/>
    <sheet xmlns:r="http://schemas.openxmlformats.org/officeDocument/2006/relationships" name="02 Faculty Brand Summary" sheetId="4" state="visible" r:id="rId4"/>
    <sheet xmlns:r="http://schemas.openxmlformats.org/officeDocument/2006/relationships" name="03 Learning Outcomes" sheetId="5" state="visible" r:id="rId5"/>
    <sheet xmlns:r="http://schemas.openxmlformats.org/officeDocument/2006/relationships" name="04 Asset Library" sheetId="6" state="visible" r:id="rId6"/>
    <sheet xmlns:r="http://schemas.openxmlformats.org/officeDocument/2006/relationships" name="05 Schedule &amp; Pacing" sheetId="7" state="visible" r:id="rId7"/>
    <sheet xmlns:r="http://schemas.openxmlformats.org/officeDocument/2006/relationships" name="06 Module Builder" sheetId="8" state="visible" r:id="rId8"/>
    <sheet xmlns:r="http://schemas.openxmlformats.org/officeDocument/2006/relationships" name="07 Assessments" sheetId="9" state="visible" r:id="rId9"/>
    <sheet xmlns:r="http://schemas.openxmlformats.org/officeDocument/2006/relationships" name="08 Engagement" sheetId="10" state="visible" r:id="rId10"/>
    <sheet xmlns:r="http://schemas.openxmlformats.org/officeDocument/2006/relationships" name="09 Lab Components" sheetId="11" state="visible" r:id="rId11"/>
    <sheet xmlns:r="http://schemas.openxmlformats.org/officeDocument/2006/relationships" name="10 Accessibility" sheetId="12" state="visible" r:id="rId12"/>
    <sheet xmlns:r="http://schemas.openxmlformats.org/officeDocument/2006/relationships" name="11 RSI" sheetId="13" state="visible" r:id="rId13"/>
    <sheet xmlns:r="http://schemas.openxmlformats.org/officeDocument/2006/relationships" name="12 Quality Assurance" sheetId="14" state="visible" r:id="rId14"/>
    <sheet xmlns:r="http://schemas.openxmlformats.org/officeDocument/2006/relationships" name="13 Launch Checklist" sheetId="15" state="visible" r:id="rId15"/>
    <sheet xmlns:r="http://schemas.openxmlformats.org/officeDocument/2006/relationships" name="Lookups" sheetId="16" state="hidden" r:id="rId1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Plus Jakarta Sans"/>
      <b val="1"/>
      <color rgb="FF0B1530"/>
      <sz val="10"/>
    </font>
    <font>
      <name val="DM Sans"/>
      <b val="1"/>
      <color rgb="FF8B3A2E"/>
      <sz val="10"/>
    </font>
    <font>
      <name val="Plus Jakarta Sans"/>
      <b val="1"/>
      <color rgb="FF0B1530"/>
      <sz val="20"/>
    </font>
    <font>
      <name val="Plus Jakarta Sans"/>
      <i val="1"/>
      <color rgb="FF374151"/>
      <sz val="11"/>
    </font>
    <font>
      <name val="Plus Jakarta Sans"/>
      <color rgb="FF374151"/>
      <sz val="10"/>
    </font>
    <font>
      <name val="Plus Jakarta Sans"/>
      <b val="1"/>
      <color rgb="FF0B1530"/>
      <sz val="12"/>
    </font>
    <font>
      <name val="Plus Jakarta Sans"/>
      <color rgb="FF060A18"/>
      <sz val="10"/>
    </font>
    <font>
      <name val="Plus Jakarta Sans"/>
      <color rgb="FF060A18"/>
      <sz val="11"/>
    </font>
    <font>
      <name val="Plus Jakarta Sans"/>
      <i val="1"/>
      <color rgb="FF374151"/>
      <sz val="10"/>
    </font>
    <font>
      <name val="Plus Jakarta Sans"/>
      <i val="1"/>
      <color rgb="FF374151"/>
      <sz val="9"/>
    </font>
    <font>
      <name val="Plus Jakarta Sans"/>
      <b val="1"/>
      <color rgb="FFFFFFFF"/>
      <sz val="11"/>
    </font>
  </fonts>
  <fills count="7">
    <fill>
      <patternFill/>
    </fill>
    <fill>
      <patternFill patternType="gray125"/>
    </fill>
    <fill>
      <patternFill patternType="solid">
        <fgColor rgb="FFF5F1E8"/>
      </patternFill>
    </fill>
    <fill>
      <patternFill patternType="solid">
        <fgColor rgb="FF0B1530"/>
      </patternFill>
    </fill>
    <fill>
      <patternFill patternType="solid">
        <fgColor rgb="FFF4E9D8"/>
      </patternFill>
    </fill>
    <fill>
      <patternFill patternType="solid">
        <fgColor rgb="FFFFF5C2"/>
      </patternFill>
    </fill>
    <fill>
      <patternFill patternType="solid">
        <fgColor rgb="FFFFFFFF"/>
      </patternFill>
    </fill>
  </fills>
  <borders count="2">
    <border>
      <left/>
      <right/>
      <top/>
      <bottom/>
      <diagonal/>
    </border>
    <border>
      <left style="thin">
        <color rgb="FFD1D5DB"/>
      </left>
      <right style="thin">
        <color rgb="FFD1D5DB"/>
      </right>
      <top style="thin">
        <color rgb="FFD1D5DB"/>
      </top>
      <bottom style="thin">
        <color rgb="FFD1D5DB"/>
      </bottom>
    </border>
  </borders>
  <cellStyleXfs count="1">
    <xf numFmtId="0" fontId="0" fillId="0" borderId="0"/>
  </cellStyleXfs>
  <cellXfs count="19">
    <xf numFmtId="0" fontId="0" fillId="0" borderId="0" pivotButton="0" quotePrefix="0" xfId="0"/>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right" vertical="center"/>
    </xf>
    <xf numFmtId="0" fontId="8" fillId="2" borderId="1" applyAlignment="1" pivotButton="0" quotePrefix="0" xfId="0">
      <alignment horizontal="left" vertical="center" wrapText="1"/>
    </xf>
    <xf numFmtId="0" fontId="2" fillId="0" borderId="0" pivotButton="0" quotePrefix="0" xfId="0"/>
    <xf numFmtId="9" fontId="8" fillId="2" borderId="1" applyAlignment="1" pivotButton="0" quotePrefix="0" xfId="0">
      <alignment horizontal="left" vertical="center" wrapText="1"/>
    </xf>
    <xf numFmtId="0" fontId="9" fillId="0" borderId="0" applyAlignment="1" pivotButton="0" quotePrefix="0" xfId="0">
      <alignment wrapText="1"/>
    </xf>
    <xf numFmtId="0" fontId="10" fillId="0" borderId="0" applyAlignment="1" pivotButton="0" quotePrefix="0" xfId="0">
      <alignment vertical="center" wrapText="1"/>
    </xf>
    <xf numFmtId="0" fontId="9" fillId="0" borderId="0" applyAlignment="1" pivotButton="0" quotePrefix="0" xfId="0">
      <alignment vertical="top" wrapText="1"/>
    </xf>
    <xf numFmtId="0" fontId="11" fillId="3" borderId="1" applyAlignment="1" pivotButton="0" quotePrefix="0" xfId="0">
      <alignment horizontal="left" vertical="center" wrapText="1"/>
    </xf>
    <xf numFmtId="0" fontId="9" fillId="4" borderId="1" applyAlignment="1" pivotButton="0" quotePrefix="0" xfId="0">
      <alignment vertical="top" wrapText="1"/>
    </xf>
    <xf numFmtId="0" fontId="5" fillId="5" borderId="1" applyAlignment="1" pivotButton="0" quotePrefix="0" xfId="0">
      <alignment vertical="top" wrapText="1"/>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showGridLines="0" workbookViewId="0">
      <selection activeCell="A1" sqref="A1"/>
    </sheetView>
  </sheetViews>
  <sheetFormatPr baseColWidth="8" defaultRowHeight="15"/>
  <cols>
    <col width="110" customWidth="1" min="1" max="1"/>
  </cols>
  <sheetData>
    <row r="1" ht="16" customHeight="1">
      <c r="A1" s="1" t="inlineStr">
        <is>
          <t>MCAS · MASTER COURSE WORKBOOK · v3</t>
        </is>
      </c>
    </row>
    <row r="2" ht="28" customHeight="1">
      <c r="A2" s="2" t="inlineStr">
        <is>
          <t>One workbook per course</t>
        </is>
      </c>
    </row>
    <row r="3" ht="28" customHeight="1">
      <c r="A3" s="3" t="inlineStr">
        <is>
          <t>This workbook is one of three inputs to the MCAS Engine. Pair it with your Faculty Brand Sheet (HTML app, exports .brand.json) and your Prototype Selection. Together they generate your course package: blueprint, content scaffolds, compliance reports, and certification.</t>
        </is>
      </c>
    </row>
    <row r="5">
      <c r="A5" s="4" t="inlineStr"/>
    </row>
    <row r="6">
      <c r="A6" s="5" t="inlineStr">
        <is>
          <t>How to use this workbook</t>
        </is>
      </c>
    </row>
    <row r="7">
      <c r="A7" s="4" t="inlineStr"/>
    </row>
    <row r="8">
      <c r="A8" s="6" t="inlineStr">
        <is>
          <t>1. Tab 01 Course Setup. Fill the course header block and pick your Prototype.</t>
        </is>
      </c>
    </row>
    <row r="9">
      <c r="A9" s="6" t="inlineStr">
        <is>
          <t>2. Tab 02 Faculty Brand Summary. Drop in the filename of your exported .brand.json. The full brand interview lives in the HTML brand sheet, not here.</t>
        </is>
      </c>
    </row>
    <row r="10">
      <c r="A10" s="6" t="inlineStr">
        <is>
          <t>3. Tab 03 Learning Outcomes. Anchor everything else. Each outcome gets an ID.</t>
        </is>
      </c>
    </row>
    <row r="11">
      <c r="A11" s="6" t="inlineStr">
        <is>
          <t>4. Tab 04 Asset Library. Every video, reading, tool, slide, rubric, simulator. Set Format per item. Flag any document you want converted to HTML for accessibility.</t>
        </is>
      </c>
    </row>
    <row r="12">
      <c r="A12" s="6" t="inlineStr">
        <is>
          <t>5. Tabs 05-08 Schedule, Module Builder, Assessments, Engagement. Architecture.</t>
        </is>
      </c>
    </row>
    <row r="13">
      <c r="A13" s="6" t="inlineStr">
        <is>
          <t>6. Tab 09 Lab Components. If your course has labs, plan them here.</t>
        </is>
      </c>
    </row>
    <row r="14">
      <c r="A14" s="6" t="inlineStr">
        <is>
          <t>7. Tabs 10-12 Compliance: Accessibility (WCAG 2.2 AA floor), RSI, Quality Assurance.</t>
        </is>
      </c>
    </row>
    <row r="15">
      <c r="A15" s="6" t="inlineStr">
        <is>
          <t>8. Tab 13 Launch Checklist. Final sign-offs before students arrive.</t>
        </is>
      </c>
    </row>
    <row r="16">
      <c r="A16" s="6" t="inlineStr">
        <is>
          <t>9. Tab 00 Course Overview is a live dashboard. Edit data on the source tabs.</t>
        </is>
      </c>
    </row>
    <row r="17">
      <c r="A17" s="4" t="inlineStr"/>
    </row>
    <row r="18">
      <c r="A18" s="5" t="inlineStr">
        <is>
          <t>Three inputs to the MCAS Engine</t>
        </is>
      </c>
    </row>
    <row r="19">
      <c r="A19" s="4" t="inlineStr"/>
    </row>
    <row r="20">
      <c r="A20" s="4" t="inlineStr">
        <is>
          <t xml:space="preserve">  · Faculty Brand Sheet (HTML app, one per faculty member) → how the course should feel</t>
        </is>
      </c>
    </row>
    <row r="21">
      <c r="A21" s="4" t="inlineStr">
        <is>
          <t xml:space="preserve">  · Master Course Workbook (xlsx, one per course, this file) → what should be built</t>
        </is>
      </c>
    </row>
    <row r="22">
      <c r="A22" s="4" t="inlineStr">
        <is>
          <t xml:space="preserve">  · Prototype Selection (one per course) → how the course should be organized</t>
        </is>
      </c>
    </row>
    <row r="23">
      <c r="A23" s="4" t="inlineStr"/>
    </row>
    <row r="24">
      <c r="A24" s="5" t="inlineStr">
        <is>
          <t>Conventions on every tab</t>
        </is>
      </c>
    </row>
    <row r="25">
      <c r="A25" s="4" t="inlineStr"/>
    </row>
    <row r="26">
      <c r="A26" s="4" t="inlineStr">
        <is>
          <t xml:space="preserve">  · Row 4 is the header row.</t>
        </is>
      </c>
    </row>
    <row r="27">
      <c r="A27" s="4" t="inlineStr">
        <is>
          <t xml:space="preserve">  · Row 5 is a tan prompt row. Tells you what goes in the column.</t>
        </is>
      </c>
    </row>
    <row r="28">
      <c r="A28" s="4" t="inlineStr">
        <is>
          <t xml:space="preserve">  · Row 6 (when present) is a yellow example. Delete or overwrite once you start.</t>
        </is>
      </c>
    </row>
    <row r="29">
      <c r="A29" s="4" t="inlineStr">
        <is>
          <t xml:space="preserve">  · Dropdowns are wired from the hidden Lookups tab. To unhide: right-click any tab → Unhide → Lookups.</t>
        </is>
      </c>
    </row>
    <row r="30">
      <c r="A30" s="4" t="inlineStr"/>
    </row>
    <row r="31">
      <c r="A31" s="5" t="inlineStr">
        <is>
          <t>Saving and reuse</t>
        </is>
      </c>
    </row>
    <row r="32">
      <c r="A32" s="4" t="inlineStr"/>
    </row>
    <row r="33">
      <c r="A33" s="4" t="inlineStr">
        <is>
          <t xml:space="preserve">  · Save one copy of this file per course. Name it with the course code (e.g., MCAS_BIO-431_Fall-2026.xlsx).</t>
        </is>
      </c>
    </row>
    <row r="34">
      <c r="A34" s="4" t="inlineStr">
        <is>
          <t xml:space="preserve">  · Adjust through the semester. The workbook is the operating document, not a one-shot intake.</t>
        </is>
      </c>
    </row>
    <row r="35">
      <c r="A35" s="4" t="inlineStr"/>
    </row>
    <row r="36">
      <c r="A36" s="6" t="inlineStr">
        <is>
          <t>Designed by MedMasters Collaborative. Use it, fork it, make it yours.</t>
        </is>
      </c>
    </row>
  </sheetData>
  <mergeCells count="3">
    <mergeCell ref="A3:H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18" customWidth="1" min="1" max="1"/>
    <col width="28" customWidth="1" min="2" max="2"/>
    <col width="22" customWidth="1" min="3" max="3"/>
    <col width="18" customWidth="1" min="4" max="4"/>
    <col width="32" customWidth="1" min="5" max="5"/>
    <col width="22" customWidth="1" min="6" max="6"/>
    <col width="22" customWidth="1" min="7" max="7"/>
    <col width="22" customWidth="1" min="8" max="8"/>
  </cols>
  <sheetData>
    <row r="1" ht="16" customHeight="1">
      <c r="A1" s="1" t="inlineStr">
        <is>
          <t>MCAS · DASHBOARD</t>
        </is>
      </c>
    </row>
    <row r="2" ht="28" customHeight="1">
      <c r="A2" s="2" t="inlineStr">
        <is>
          <t>Course Overview</t>
        </is>
      </c>
    </row>
    <row r="3" ht="28" customHeight="1">
      <c r="A3" s="3" t="inlineStr">
        <is>
          <t>Live readiness scorecard. Counts pull from your other tabs. Edit data there, not here.</t>
        </is>
      </c>
    </row>
    <row r="5">
      <c r="A5" s="8" t="inlineStr">
        <is>
          <t>Course Code</t>
        </is>
      </c>
      <c r="B5" s="9">
        <f>'01 Course Setup'!C5</f>
        <v/>
      </c>
      <c r="D5" s="8" t="inlineStr">
        <is>
          <t>Course Title</t>
        </is>
      </c>
      <c r="E5" s="9">
        <f>'01 Course Setup'!C6</f>
        <v/>
      </c>
    </row>
    <row r="6">
      <c r="A6" s="8" t="inlineStr">
        <is>
          <t>Faculty</t>
        </is>
      </c>
      <c r="B6" s="9">
        <f>'01 Course Setup'!C11</f>
        <v/>
      </c>
      <c r="D6" s="8" t="inlineStr">
        <is>
          <t>Prototype</t>
        </is>
      </c>
      <c r="E6" s="9">
        <f>'01 Course Setup'!C16</f>
        <v/>
      </c>
    </row>
    <row r="7">
      <c r="A7" s="8" t="inlineStr">
        <is>
          <t>Term</t>
        </is>
      </c>
      <c r="B7" s="9">
        <f>'01 Course Setup'!C8</f>
        <v/>
      </c>
      <c r="D7" s="8" t="inlineStr">
        <is>
          <t>Brand Sheet</t>
        </is>
      </c>
      <c r="E7" s="9">
        <f>'02 Faculty Brand Summary'!C5</f>
        <v/>
      </c>
    </row>
    <row r="10">
      <c r="A10" s="10" t="inlineStr">
        <is>
          <t>COUNTS</t>
        </is>
      </c>
      <c r="D10" s="10" t="inlineStr">
        <is>
          <t>COMPLIANCE</t>
        </is>
      </c>
    </row>
    <row r="11">
      <c r="A11" s="8" t="inlineStr">
        <is>
          <t>Outcomes</t>
        </is>
      </c>
      <c r="B11" s="9">
        <f>COUNTA('03 Learning Outcomes'!A6:A1000)-COUNTIF('03 Learning Outcomes'!A6:A1000,"LO01, LO02… or your scheme")</f>
        <v/>
      </c>
      <c r="D11" s="8" t="inlineStr">
        <is>
          <t>WCAG Pass</t>
        </is>
      </c>
      <c r="E11" s="9">
        <f>COUNTIF('10 Accessibility'!F6:F1000,"Pass")</f>
        <v/>
      </c>
    </row>
    <row r="12">
      <c r="A12" s="8" t="inlineStr">
        <is>
          <t>Modules</t>
        </is>
      </c>
      <c r="B12" s="9">
        <f>COUNTA('06 Module Builder'!A6:A1000)-COUNTIF('06 Module Builder'!A6:A1000,"M01, M02…")</f>
        <v/>
      </c>
      <c r="D12" s="8" t="inlineStr">
        <is>
          <t>WCAG Fail</t>
        </is>
      </c>
      <c r="E12" s="9">
        <f>COUNTIF('10 Accessibility'!F6:F1000,"Fail")</f>
        <v/>
      </c>
    </row>
    <row r="13">
      <c r="A13" s="8" t="inlineStr">
        <is>
          <t>Assets</t>
        </is>
      </c>
      <c r="B13" s="9">
        <f>COUNTA('04 Asset Library'!A6:A1000)-COUNTIF('04 Asset Library'!A6:A1000,"A001, A002…")</f>
        <v/>
      </c>
      <c r="D13" s="8" t="inlineStr">
        <is>
          <t>WCAG Partial</t>
        </is>
      </c>
      <c r="E13" s="9">
        <f>COUNTIF('10 Accessibility'!F6:F1000,"Partial")</f>
        <v/>
      </c>
    </row>
    <row r="14">
      <c r="A14" s="8" t="inlineStr">
        <is>
          <t>Assessments</t>
        </is>
      </c>
      <c r="B14" s="9">
        <f>COUNTA('07 Assessments'!A6:A1000)-COUNTIF('07 Assessments'!A6:A1000,"A01, A02…")</f>
        <v/>
      </c>
      <c r="D14" s="8" t="inlineStr">
        <is>
          <t>RSI Entries</t>
        </is>
      </c>
      <c r="E14" s="9">
        <f>COUNTA('11 RSI'!A6:A1000)-COUNTIF('11 RSI'!A6:A1000,"R001…")</f>
        <v/>
      </c>
    </row>
    <row r="15">
      <c r="A15" s="8" t="inlineStr">
        <is>
          <t>Lab Components</t>
        </is>
      </c>
      <c r="B15" s="9">
        <f>COUNTA('09 Lab Components'!A6:A1000)-COUNTIF('09 Lab Components'!A6:A1000,"LAB01…")</f>
        <v/>
      </c>
      <c r="D15" s="8" t="inlineStr">
        <is>
          <t>QA Pass</t>
        </is>
      </c>
      <c r="E15" s="9">
        <f>COUNTIF('12 Quality Assurance'!F6:F1000,"Pass")</f>
        <v/>
      </c>
    </row>
    <row r="16">
      <c r="A16" s="8" t="inlineStr">
        <is>
          <t>Schedule items</t>
        </is>
      </c>
      <c r="B16" s="9">
        <f>COUNTA('05 Schedule &amp; Pacing'!A6:A1000)-COUNTIF('05 Schedule &amp; Pacing'!A6:A1000,"Week #")</f>
        <v/>
      </c>
      <c r="D16" s="8" t="inlineStr">
        <is>
          <t>QA Pending</t>
        </is>
      </c>
      <c r="E16" s="9">
        <f>COUNTIF('12 Quality Assurance'!F6:F1000,"Pending")</f>
        <v/>
      </c>
    </row>
    <row r="19">
      <c r="A19" s="10" t="inlineStr">
        <is>
          <t>READINESS</t>
        </is>
      </c>
    </row>
    <row r="20">
      <c r="A20" s="8" t="inlineStr">
        <is>
          <t>Launch tasks complete</t>
        </is>
      </c>
      <c r="B20" s="9">
        <f>COUNTIF('13 Launch Checklist'!E6:E1000,"Complete")</f>
        <v/>
      </c>
    </row>
    <row r="21">
      <c r="A21" s="8" t="inlineStr">
        <is>
          <t>Launch tasks total</t>
        </is>
      </c>
      <c r="B21" s="9">
        <f>COUNTA('13 Launch Checklist'!A6:A1000)-COUNTIF('13 Launch Checklist'!A6:A1000,"L001…")</f>
        <v/>
      </c>
    </row>
    <row r="22">
      <c r="A22" s="8" t="inlineStr">
        <is>
          <t>Launch readiness %</t>
        </is>
      </c>
      <c r="B22" s="11">
        <f>IFERROR(B20/B21,0)</f>
        <v/>
      </c>
    </row>
    <row r="23">
      <c r="A23" s="8" t="inlineStr">
        <is>
          <t>WCAG readiness %</t>
        </is>
      </c>
      <c r="B23" s="11">
        <f>IFERROR(E11/(E11+E12+E13),0)</f>
        <v/>
      </c>
    </row>
    <row r="25">
      <c r="A25" s="7" t="inlineStr">
        <is>
          <t>How to lift this dashboard</t>
        </is>
      </c>
    </row>
    <row r="26">
      <c r="A26" s="12" t="inlineStr">
        <is>
          <t>Add or edit data on the source tabs. WCAG readiness counts criteria marked Pass against all Pass/Fail/Partial. Launch readiness counts tasks marked Complete against your total task list.</t>
        </is>
      </c>
    </row>
    <row r="27"/>
  </sheetData>
  <mergeCells count="4">
    <mergeCell ref="A26:E27"/>
    <mergeCell ref="A3:H3"/>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28" customWidth="1" min="1" max="1"/>
    <col width="4" customWidth="1" min="2" max="2"/>
    <col width="48" customWidth="1" min="3" max="3"/>
    <col width="60" customWidth="1" min="4" max="4"/>
  </cols>
  <sheetData>
    <row r="1" ht="16" customHeight="1">
      <c r="A1" s="1" t="inlineStr">
        <is>
          <t>TAB 01 · START HERE</t>
        </is>
      </c>
    </row>
    <row r="2" ht="28" customHeight="1">
      <c r="A2" s="2" t="inlineStr">
        <is>
          <t>Course Setup</t>
        </is>
      </c>
    </row>
    <row r="3" ht="28" customHeight="1">
      <c r="A3" s="3" t="inlineStr">
        <is>
          <t>Single-course workbook. Fill the header block, pick your Prototype, and reference your Brand Sheet file. The dashboard and downstream tabs read from here.</t>
        </is>
      </c>
    </row>
    <row r="5" ht="22" customHeight="1">
      <c r="A5" s="8" t="inlineStr">
        <is>
          <t>Course Code</t>
        </is>
      </c>
      <c r="C5" s="9" t="inlineStr"/>
      <c r="D5" s="13" t="inlineStr">
        <is>
          <t>e.g., BIO 431, NURS 210, HIST 101</t>
        </is>
      </c>
    </row>
    <row r="6" ht="22" customHeight="1">
      <c r="A6" s="8" t="inlineStr">
        <is>
          <t>Course Title</t>
        </is>
      </c>
      <c r="C6" s="9" t="inlineStr"/>
      <c r="D6" s="13" t="inlineStr">
        <is>
          <t>Full title as it appears in catalog</t>
        </is>
      </c>
    </row>
    <row r="7" ht="22" customHeight="1">
      <c r="A7" s="8" t="inlineStr">
        <is>
          <t>Institution</t>
        </is>
      </c>
      <c r="C7" s="9" t="inlineStr"/>
      <c r="D7" s="13" t="inlineStr">
        <is>
          <t>College / university name</t>
        </is>
      </c>
    </row>
    <row r="8" ht="22" customHeight="1">
      <c r="A8" s="8" t="inlineStr">
        <is>
          <t>Term</t>
        </is>
      </c>
      <c r="C8" s="9" t="inlineStr"/>
      <c r="D8" s="13" t="inlineStr">
        <is>
          <t>e.g., Fall 2026, Summer 2026, 8-Week B</t>
        </is>
      </c>
    </row>
    <row r="9" ht="22" customHeight="1">
      <c r="A9" s="8" t="inlineStr">
        <is>
          <t>Modality</t>
        </is>
      </c>
      <c r="C9" s="9" t="inlineStr"/>
      <c r="D9" s="13" t="inlineStr">
        <is>
          <t>Pick from list</t>
        </is>
      </c>
    </row>
    <row r="10" ht="22" customHeight="1">
      <c r="A10" s="8" t="inlineStr">
        <is>
          <t>Credit Hours</t>
        </is>
      </c>
      <c r="C10" s="9" t="inlineStr"/>
      <c r="D10" s="13" t="inlineStr">
        <is>
          <t>Number</t>
        </is>
      </c>
    </row>
    <row r="11" ht="22" customHeight="1">
      <c r="A11" s="8" t="inlineStr">
        <is>
          <t>Faculty Name</t>
        </is>
      </c>
      <c r="C11" s="9" t="inlineStr"/>
      <c r="D11" s="13" t="inlineStr">
        <is>
          <t>As it should appear in student-facing materials</t>
        </is>
      </c>
    </row>
    <row r="12" ht="22" customHeight="1">
      <c r="A12" s="8" t="inlineStr">
        <is>
          <t>Byline</t>
        </is>
      </c>
      <c r="C12" s="9" t="inlineStr"/>
      <c r="D12" s="13" t="inlineStr">
        <is>
          <t>What students see on syllabus/materials. e.g., Dr. Sharilyn Rennie</t>
        </is>
      </c>
    </row>
    <row r="13" ht="22" customHeight="1">
      <c r="A13" s="8" t="inlineStr">
        <is>
          <t>Course Start</t>
        </is>
      </c>
      <c r="C13" s="9" t="inlineStr"/>
      <c r="D13" s="13" t="inlineStr">
        <is>
          <t>YYYY-MM-DD</t>
        </is>
      </c>
    </row>
    <row r="14" ht="22" customHeight="1">
      <c r="A14" s="8" t="inlineStr">
        <is>
          <t>Course End</t>
        </is>
      </c>
      <c r="C14" s="9" t="inlineStr"/>
      <c r="D14" s="13" t="inlineStr">
        <is>
          <t>YYYY-MM-DD</t>
        </is>
      </c>
    </row>
    <row r="15" ht="22" customHeight="1">
      <c r="A15" s="8" t="inlineStr">
        <is>
          <t># Weeks</t>
        </is>
      </c>
      <c r="C15" s="9" t="inlineStr"/>
      <c r="D15" s="13" t="inlineStr">
        <is>
          <t>Total weeks of instruction</t>
        </is>
      </c>
    </row>
    <row r="16" ht="22" customHeight="1">
      <c r="A16" s="8" t="inlineStr">
        <is>
          <t>Prototype Selection</t>
        </is>
      </c>
      <c r="C16" s="9" t="inlineStr"/>
      <c r="D16" s="13" t="inlineStr">
        <is>
          <t>Pick from list. Determines course architecture.</t>
        </is>
      </c>
    </row>
    <row r="17" ht="22" customHeight="1">
      <c r="A17" s="8" t="inlineStr">
        <is>
          <t>Faculty Brand Sheet (file)</t>
        </is>
      </c>
      <c r="C17" s="9" t="inlineStr"/>
      <c r="D17" s="13" t="inlineStr">
        <is>
          <t>Filename of your exported .brand.json (e.g., rennie.brand.json)</t>
        </is>
      </c>
    </row>
    <row r="18" ht="22" customHeight="1">
      <c r="A18" s="8" t="inlineStr">
        <is>
          <t>Course Status</t>
        </is>
      </c>
      <c r="C18" s="9" t="inlineStr"/>
      <c r="D18" s="13" t="inlineStr">
        <is>
          <t>Pick from list</t>
        </is>
      </c>
    </row>
    <row r="19" ht="22" customHeight="1">
      <c r="A19" s="8" t="inlineStr">
        <is>
          <t>Notes</t>
        </is>
      </c>
      <c r="C19" s="9" t="inlineStr"/>
      <c r="D19" s="13" t="inlineStr">
        <is>
          <t>Any context for collaborators or AI tools</t>
        </is>
      </c>
    </row>
  </sheetData>
  <mergeCells count="3">
    <mergeCell ref="A1:D1"/>
    <mergeCell ref="A3:D3"/>
    <mergeCell ref="A2:D2"/>
  </mergeCells>
  <dataValidations count="3">
    <dataValidation sqref="C9" showDropDown="0" showInputMessage="0" showErrorMessage="0" allowBlank="1" type="list">
      <formula1>=Lookups!$B$2:$B$7</formula1>
    </dataValidation>
    <dataValidation sqref="C16" showDropDown="0" showInputMessage="0" showErrorMessage="0" allowBlank="1" type="list">
      <formula1>=Lookups!$A$2:$A$8</formula1>
    </dataValidation>
    <dataValidation sqref="C18" showDropDown="0" showInputMessage="0" showErrorMessage="0" allowBlank="1" type="list">
      <formula1>=Lookups!$C$2:$C$6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26" customWidth="1" min="1" max="1"/>
    <col width="4" customWidth="1" min="2" max="2"/>
    <col width="44" customWidth="1" min="3" max="3"/>
    <col width="60" customWidth="1" min="4" max="4"/>
  </cols>
  <sheetData>
    <row r="1" ht="16" customHeight="1">
      <c r="A1" s="1" t="inlineStr">
        <is>
          <t>TAB 02</t>
        </is>
      </c>
    </row>
    <row r="2" ht="28" customHeight="1">
      <c r="A2" s="2" t="inlineStr">
        <is>
          <t>Faculty Brand Summary</t>
        </is>
      </c>
    </row>
    <row r="3" ht="28" customHeight="1">
      <c r="A3" s="3" t="inlineStr">
        <is>
          <t>Pointer to your standalone Brand Sheet. The full 10-section interview lives in faculty-branding-app.html. Drop the exported JSON filename here so the Course Generator can find it.</t>
        </is>
      </c>
    </row>
    <row r="5" ht="22" customHeight="1">
      <c r="A5" s="8" t="inlineStr">
        <is>
          <t>Brand Sheet (file)</t>
        </is>
      </c>
      <c r="C5" s="9" t="inlineStr"/>
      <c r="D5" s="13" t="inlineStr">
        <is>
          <t>Filename of .brand.json exported from faculty-branding-app.html</t>
        </is>
      </c>
    </row>
    <row r="6" ht="22" customHeight="1">
      <c r="A6" s="8" t="inlineStr">
        <is>
          <t>Faculty Name</t>
        </is>
      </c>
      <c r="C6" s="9" t="inlineStr"/>
      <c r="D6" s="13" t="inlineStr">
        <is>
          <t>As it should appear in student-facing materials</t>
        </is>
      </c>
    </row>
    <row r="7" ht="22" customHeight="1">
      <c r="A7" s="8" t="inlineStr">
        <is>
          <t>Byline rule</t>
        </is>
      </c>
      <c r="C7" s="9" t="inlineStr"/>
      <c r="D7" s="13" t="inlineStr">
        <is>
          <t>e.g., 'Dr. Sharilyn Rennie' — no credential suffix in student-facing output</t>
        </is>
      </c>
    </row>
    <row r="8" ht="22" customHeight="1">
      <c r="A8" s="8" t="inlineStr">
        <is>
          <t>Palette name</t>
        </is>
      </c>
      <c r="C8" s="9" t="inlineStr"/>
      <c r="D8" s="13" t="inlineStr">
        <is>
          <t>e.g., Primary Teaching, MedMasters MCAS</t>
        </is>
      </c>
    </row>
    <row r="9" ht="22" customHeight="1">
      <c r="A9" s="8" t="inlineStr">
        <is>
          <t>Primary color (hex)</t>
        </is>
      </c>
      <c r="C9" s="9" t="inlineStr"/>
      <c r="D9" s="13" t="inlineStr">
        <is>
          <t>e.g., #0B1530</t>
        </is>
      </c>
    </row>
    <row r="10" ht="22" customHeight="1">
      <c r="A10" s="8" t="inlineStr">
        <is>
          <t>Accent color (hex)</t>
        </is>
      </c>
      <c r="C10" s="9" t="inlineStr"/>
      <c r="D10" s="13" t="inlineStr">
        <is>
          <t>e.g., #C9A14A</t>
        </is>
      </c>
    </row>
    <row r="11" ht="22" customHeight="1">
      <c r="A11" s="8" t="inlineStr">
        <is>
          <t>Display font</t>
        </is>
      </c>
      <c r="C11" s="9" t="inlineStr"/>
      <c r="D11" s="13" t="inlineStr">
        <is>
          <t>e.g., Plus Jakarta Sans</t>
        </is>
      </c>
    </row>
    <row r="12" ht="22" customHeight="1">
      <c r="A12" s="8" t="inlineStr">
        <is>
          <t>Body font</t>
        </is>
      </c>
      <c r="C12" s="9" t="inlineStr"/>
      <c r="D12" s="13" t="inlineStr">
        <is>
          <t>e.g., Plus Jakarta Sans</t>
        </is>
      </c>
    </row>
    <row r="13" ht="22" customHeight="1">
      <c r="A13" s="8" t="inlineStr">
        <is>
          <t>AI: always do</t>
        </is>
      </c>
      <c r="C13" s="9" t="inlineStr"/>
      <c r="D13" s="13" t="inlineStr">
        <is>
          <t>Top 3 rules</t>
        </is>
      </c>
    </row>
    <row r="14" ht="22" customHeight="1">
      <c r="A14" s="8" t="inlineStr">
        <is>
          <t>AI: never do</t>
        </is>
      </c>
      <c r="C14" s="9" t="inlineStr"/>
      <c r="D14" s="13" t="inlineStr">
        <is>
          <t>Top 3 rules (e.g., em dashes, sage/cream in teaching materials)</t>
        </is>
      </c>
    </row>
    <row r="15" ht="22" customHeight="1">
      <c r="A15" s="8" t="inlineStr">
        <is>
          <t>WCAG target</t>
        </is>
      </c>
      <c r="C15" s="9" t="inlineStr"/>
      <c r="D15" s="13" t="inlineStr">
        <is>
          <t>AA or AAA</t>
        </is>
      </c>
    </row>
    <row r="16" ht="22" customHeight="1">
      <c r="A16" s="8" t="inlineStr">
        <is>
          <t>Notes</t>
        </is>
      </c>
      <c r="C16" s="9" t="inlineStr"/>
      <c r="D16" s="13" t="inlineStr">
        <is>
          <t>Anything else the Generator should honor</t>
        </is>
      </c>
    </row>
    <row r="19">
      <c r="A19" s="14" t="inlineStr">
        <is>
          <t>Full brand interview (philosophy, voice, full palette, components, accessibility, AI rules) is in faculty-branding-app.html. Export JSON there; reference the filename above.</t>
        </is>
      </c>
    </row>
    <row r="20"/>
  </sheetData>
  <mergeCells count="4">
    <mergeCell ref="A1:D1"/>
    <mergeCell ref="A19:D20"/>
    <mergeCell ref="A3:D3"/>
    <mergeCell ref="A2:D2"/>
  </mergeCells>
  <dataValidations count="1">
    <dataValidation sqref="C15" showDropDown="0" showInputMessage="0" showErrorMessage="0" allowBlank="1" type="list">
      <formula1>=Lookups!$P$2:$P$3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6"/>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60" customWidth="1" min="3" max="3"/>
    <col width="16" customWidth="1" min="4" max="4"/>
    <col width="12" customWidth="1" min="5" max="5"/>
    <col width="30" customWidth="1" min="6" max="6"/>
  </cols>
  <sheetData>
    <row r="1" ht="16" customHeight="1">
      <c r="A1" s="1" t="inlineStr">
        <is>
          <t>TAB 03</t>
        </is>
      </c>
    </row>
    <row r="2" ht="28" customHeight="1">
      <c r="A2" s="2" t="inlineStr">
        <is>
          <t>Learning Outcomes</t>
        </is>
      </c>
    </row>
    <row r="3" ht="28" customHeight="1">
      <c r="A3" s="3" t="inlineStr">
        <is>
          <t>Anchor everything else. Each outcome gets an ID you'll reference in Modules, Assets, and Assessments.</t>
        </is>
      </c>
    </row>
    <row r="4" ht="36" customHeight="1">
      <c r="A4" s="15" t="inlineStr">
        <is>
          <t>Outcome ID</t>
        </is>
      </c>
      <c r="B4" s="15" t="inlineStr">
        <is>
          <t>Module/Unit</t>
        </is>
      </c>
      <c r="C4" s="15" t="inlineStr">
        <is>
          <t>Outcome Statement</t>
        </is>
      </c>
      <c r="D4" s="15" t="inlineStr">
        <is>
          <t>Bloom Level</t>
        </is>
      </c>
      <c r="E4" s="15" t="inlineStr">
        <is>
          <t>DOK Level</t>
        </is>
      </c>
      <c r="F4" s="15" t="inlineStr">
        <is>
          <t>Notes</t>
        </is>
      </c>
    </row>
    <row r="5" ht="56" customHeight="1">
      <c r="A5" s="16" t="inlineStr">
        <is>
          <t>LO01, LO02… or your scheme</t>
        </is>
      </c>
      <c r="B5" s="16" t="inlineStr">
        <is>
          <t>Module ID or name (e.g., M01)</t>
        </is>
      </c>
      <c r="C5" s="16" t="inlineStr">
        <is>
          <t>'Students will be able to…' (one verb, one object)</t>
        </is>
      </c>
      <c r="D5" s="16" t="inlineStr">
        <is>
          <t>Pick from list</t>
        </is>
      </c>
      <c r="E5" s="16" t="inlineStr">
        <is>
          <t>Pick from list</t>
        </is>
      </c>
      <c r="F5" s="16" t="inlineStr">
        <is>
          <t>Optional. Linked assessments, alignment notes.</t>
        </is>
      </c>
    </row>
    <row r="6" ht="24" customHeight="1">
      <c r="A6" s="17" t="inlineStr">
        <is>
          <t>LO01</t>
        </is>
      </c>
      <c r="B6" s="17" t="inlineStr">
        <is>
          <t>M01</t>
        </is>
      </c>
      <c r="C6" s="17" t="inlineStr">
        <is>
          <t>Students will identify the four phases of mitosis.</t>
        </is>
      </c>
      <c r="D6" s="17" t="inlineStr">
        <is>
          <t>Remember</t>
        </is>
      </c>
      <c r="E6" s="17" t="n">
        <v>1</v>
      </c>
      <c r="F6" s="17" t="inlineStr"/>
    </row>
    <row r="7">
      <c r="A7" s="18" t="n"/>
      <c r="B7" s="18" t="n"/>
      <c r="C7" s="18" t="n"/>
      <c r="D7" s="18" t="n"/>
      <c r="E7" s="18" t="n"/>
      <c r="F7" s="18"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row r="58">
      <c r="A58" s="18" t="n"/>
      <c r="B58" s="18" t="n"/>
      <c r="C58" s="18" t="n"/>
      <c r="D58" s="18" t="n"/>
      <c r="E58" s="18" t="n"/>
      <c r="F58" s="18" t="n"/>
    </row>
    <row r="59">
      <c r="A59" s="18" t="n"/>
      <c r="B59" s="18" t="n"/>
      <c r="C59" s="18" t="n"/>
      <c r="D59" s="18" t="n"/>
      <c r="E59" s="18" t="n"/>
      <c r="F59" s="18" t="n"/>
    </row>
    <row r="60">
      <c r="A60" s="18" t="n"/>
      <c r="B60" s="18" t="n"/>
      <c r="C60" s="18" t="n"/>
      <c r="D60" s="18" t="n"/>
      <c r="E60" s="18" t="n"/>
      <c r="F60" s="18" t="n"/>
    </row>
    <row r="61">
      <c r="A61" s="18" t="n"/>
      <c r="B61" s="18" t="n"/>
      <c r="C61" s="18" t="n"/>
      <c r="D61" s="18" t="n"/>
      <c r="E61" s="18" t="n"/>
      <c r="F61" s="18" t="n"/>
    </row>
    <row r="62">
      <c r="A62" s="18" t="n"/>
      <c r="B62" s="18" t="n"/>
      <c r="C62" s="18" t="n"/>
      <c r="D62" s="18" t="n"/>
      <c r="E62" s="18" t="n"/>
      <c r="F62" s="18" t="n"/>
    </row>
    <row r="63">
      <c r="A63" s="18" t="n"/>
      <c r="B63" s="18" t="n"/>
      <c r="C63" s="18" t="n"/>
      <c r="D63" s="18" t="n"/>
      <c r="E63" s="18" t="n"/>
      <c r="F63" s="18" t="n"/>
    </row>
    <row r="64">
      <c r="A64" s="18" t="n"/>
      <c r="B64" s="18" t="n"/>
      <c r="C64" s="18" t="n"/>
      <c r="D64" s="18" t="n"/>
      <c r="E64" s="18" t="n"/>
      <c r="F64" s="18" t="n"/>
    </row>
    <row r="65">
      <c r="A65" s="18" t="n"/>
      <c r="B65" s="18" t="n"/>
      <c r="C65" s="18" t="n"/>
      <c r="D65" s="18" t="n"/>
      <c r="E65" s="18" t="n"/>
      <c r="F65" s="18" t="n"/>
    </row>
    <row r="66">
      <c r="A66" s="18" t="n"/>
      <c r="B66" s="18" t="n"/>
      <c r="C66" s="18" t="n"/>
      <c r="D66" s="18" t="n"/>
      <c r="E66" s="18" t="n"/>
      <c r="F66" s="18" t="n"/>
    </row>
    <row r="67">
      <c r="A67" s="18" t="n"/>
      <c r="B67" s="18" t="n"/>
      <c r="C67" s="18" t="n"/>
      <c r="D67" s="18" t="n"/>
      <c r="E67" s="18" t="n"/>
      <c r="F67" s="18" t="n"/>
    </row>
    <row r="68">
      <c r="A68" s="18" t="n"/>
      <c r="B68" s="18" t="n"/>
      <c r="C68" s="18" t="n"/>
      <c r="D68" s="18" t="n"/>
      <c r="E68" s="18" t="n"/>
      <c r="F68" s="18" t="n"/>
    </row>
    <row r="69">
      <c r="A69" s="18" t="n"/>
      <c r="B69" s="18" t="n"/>
      <c r="C69" s="18" t="n"/>
      <c r="D69" s="18" t="n"/>
      <c r="E69" s="18" t="n"/>
      <c r="F69" s="18" t="n"/>
    </row>
    <row r="70">
      <c r="A70" s="18" t="n"/>
      <c r="B70" s="18" t="n"/>
      <c r="C70" s="18" t="n"/>
      <c r="D70" s="18" t="n"/>
      <c r="E70" s="18" t="n"/>
      <c r="F70" s="18" t="n"/>
    </row>
    <row r="71">
      <c r="A71" s="18" t="n"/>
      <c r="B71" s="18" t="n"/>
      <c r="C71" s="18" t="n"/>
      <c r="D71" s="18" t="n"/>
      <c r="E71" s="18" t="n"/>
      <c r="F71" s="18" t="n"/>
    </row>
    <row r="72">
      <c r="A72" s="18" t="n"/>
      <c r="B72" s="18" t="n"/>
      <c r="C72" s="18" t="n"/>
      <c r="D72" s="18" t="n"/>
      <c r="E72" s="18" t="n"/>
      <c r="F72" s="18" t="n"/>
    </row>
    <row r="73">
      <c r="A73" s="18" t="n"/>
      <c r="B73" s="18" t="n"/>
      <c r="C73" s="18" t="n"/>
      <c r="D73" s="18" t="n"/>
      <c r="E73" s="18" t="n"/>
      <c r="F73" s="18" t="n"/>
    </row>
    <row r="74">
      <c r="A74" s="18" t="n"/>
      <c r="B74" s="18" t="n"/>
      <c r="C74" s="18" t="n"/>
      <c r="D74" s="18" t="n"/>
      <c r="E74" s="18" t="n"/>
      <c r="F74" s="18" t="n"/>
    </row>
    <row r="75">
      <c r="A75" s="18" t="n"/>
      <c r="B75" s="18" t="n"/>
      <c r="C75" s="18" t="n"/>
      <c r="D75" s="18" t="n"/>
      <c r="E75" s="18" t="n"/>
      <c r="F75" s="18" t="n"/>
    </row>
    <row r="76">
      <c r="A76" s="18" t="n"/>
      <c r="B76" s="18" t="n"/>
      <c r="C76" s="18" t="n"/>
      <c r="D76" s="18" t="n"/>
      <c r="E76" s="18" t="n"/>
      <c r="F76" s="18" t="n"/>
    </row>
    <row r="77">
      <c r="A77" s="18" t="n"/>
      <c r="B77" s="18" t="n"/>
      <c r="C77" s="18" t="n"/>
      <c r="D77" s="18" t="n"/>
      <c r="E77" s="18" t="n"/>
      <c r="F77" s="18" t="n"/>
    </row>
    <row r="78">
      <c r="A78" s="18" t="n"/>
      <c r="B78" s="18" t="n"/>
      <c r="C78" s="18" t="n"/>
      <c r="D78" s="18" t="n"/>
      <c r="E78" s="18" t="n"/>
      <c r="F78" s="18" t="n"/>
    </row>
    <row r="79">
      <c r="A79" s="18" t="n"/>
      <c r="B79" s="18" t="n"/>
      <c r="C79" s="18" t="n"/>
      <c r="D79" s="18" t="n"/>
      <c r="E79" s="18" t="n"/>
      <c r="F79" s="18" t="n"/>
    </row>
    <row r="80">
      <c r="A80" s="18" t="n"/>
      <c r="B80" s="18" t="n"/>
      <c r="C80" s="18" t="n"/>
      <c r="D80" s="18" t="n"/>
      <c r="E80" s="18" t="n"/>
      <c r="F80" s="18" t="n"/>
    </row>
    <row r="81">
      <c r="A81" s="18" t="n"/>
      <c r="B81" s="18" t="n"/>
      <c r="C81" s="18" t="n"/>
      <c r="D81" s="18" t="n"/>
      <c r="E81" s="18" t="n"/>
      <c r="F81" s="18" t="n"/>
    </row>
    <row r="82">
      <c r="A82" s="18" t="n"/>
      <c r="B82" s="18" t="n"/>
      <c r="C82" s="18" t="n"/>
      <c r="D82" s="18" t="n"/>
      <c r="E82" s="18" t="n"/>
      <c r="F82" s="18" t="n"/>
    </row>
    <row r="83">
      <c r="A83" s="18" t="n"/>
      <c r="B83" s="18" t="n"/>
      <c r="C83" s="18" t="n"/>
      <c r="D83" s="18" t="n"/>
      <c r="E83" s="18" t="n"/>
      <c r="F83" s="18" t="n"/>
    </row>
    <row r="84">
      <c r="A84" s="18" t="n"/>
      <c r="B84" s="18" t="n"/>
      <c r="C84" s="18" t="n"/>
      <c r="D84" s="18" t="n"/>
      <c r="E84" s="18" t="n"/>
      <c r="F84" s="18" t="n"/>
    </row>
    <row r="85">
      <c r="A85" s="18" t="n"/>
      <c r="B85" s="18" t="n"/>
      <c r="C85" s="18" t="n"/>
      <c r="D85" s="18" t="n"/>
      <c r="E85" s="18" t="n"/>
      <c r="F85" s="18" t="n"/>
    </row>
    <row r="86">
      <c r="A86" s="18" t="n"/>
      <c r="B86" s="18" t="n"/>
      <c r="C86" s="18" t="n"/>
      <c r="D86" s="18" t="n"/>
      <c r="E86" s="18" t="n"/>
      <c r="F86" s="18" t="n"/>
    </row>
  </sheetData>
  <mergeCells count="3">
    <mergeCell ref="A3:F3"/>
    <mergeCell ref="A2:F2"/>
    <mergeCell ref="A1:F1"/>
  </mergeCells>
  <dataValidations count="2">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showDropDown="0" showInputMessage="0" showErrorMessage="0" allowBlank="1" type="list">
      <formula1>=Lookups!$M$2:$M$7</formula1>
    </dataValidation>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showDropDown="0" showInputMessage="0" showErrorMessage="0" allowBlank="1" type="list">
      <formula1>=Lookups!$N$2:$N$5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16" customWidth="1" min="4" max="4"/>
    <col width="40" customWidth="1" min="5" max="5"/>
    <col width="40" customWidth="1" min="6" max="6"/>
    <col width="14" customWidth="1" min="7" max="7"/>
    <col width="18" customWidth="1" min="8" max="8"/>
    <col width="18" customWidth="1" min="9" max="9"/>
    <col width="20" customWidth="1" min="10" max="10"/>
    <col width="16" customWidth="1" min="11" max="11"/>
    <col width="28" customWidth="1" min="12" max="12"/>
  </cols>
  <sheetData>
    <row r="1" ht="16" customHeight="1">
      <c r="A1" s="1" t="inlineStr">
        <is>
          <t>TAB 04 · LINK LIBRARY</t>
        </is>
      </c>
    </row>
    <row r="2" ht="28" customHeight="1">
      <c r="A2" s="2" t="inlineStr">
        <is>
          <t>Asset Library</t>
        </is>
      </c>
    </row>
    <row r="3" ht="28" customHeight="1">
      <c r="A3" s="3" t="inlineStr">
        <is>
          <t>Every video, reading, tool, slide deck, rubric, simulator. One row per item. Pick a Format. Flag any document you want converted to HTML so accessibility lands automatically.</t>
        </is>
      </c>
    </row>
    <row r="4" ht="36" customHeight="1">
      <c r="A4" s="15" t="inlineStr">
        <is>
          <t>Asset ID</t>
        </is>
      </c>
      <c r="B4" s="15" t="inlineStr">
        <is>
          <t>Module</t>
        </is>
      </c>
      <c r="C4" s="15" t="inlineStr">
        <is>
          <t>Week</t>
        </is>
      </c>
      <c r="D4" s="15" t="inlineStr">
        <is>
          <t>Asset Type</t>
        </is>
      </c>
      <c r="E4" s="15" t="inlineStr">
        <is>
          <t>Title</t>
        </is>
      </c>
      <c r="F4" s="15" t="inlineStr">
        <is>
          <t>URL or Path</t>
        </is>
      </c>
      <c r="G4" s="15" t="inlineStr">
        <is>
          <t>Format</t>
        </is>
      </c>
      <c r="H4" s="15" t="inlineStr">
        <is>
          <t>Convert to HTML?</t>
        </is>
      </c>
      <c r="I4" s="15" t="inlineStr">
        <is>
          <t>Source</t>
        </is>
      </c>
      <c r="J4" s="15" t="inlineStr">
        <is>
          <t>Accessibility Status</t>
        </is>
      </c>
      <c r="K4" s="15" t="inlineStr">
        <is>
          <t>Status</t>
        </is>
      </c>
      <c r="L4" s="15" t="inlineStr">
        <is>
          <t>Notes</t>
        </is>
      </c>
    </row>
    <row r="5" ht="56" customHeight="1">
      <c r="A5" s="16" t="inlineStr">
        <is>
          <t>A001, A002…</t>
        </is>
      </c>
      <c r="B5" s="16" t="inlineStr">
        <is>
          <t>Module ID or name</t>
        </is>
      </c>
      <c r="C5" s="16" t="inlineStr">
        <is>
          <t>Week #</t>
        </is>
      </c>
      <c r="D5" s="16" t="inlineStr">
        <is>
          <t>Pick from list</t>
        </is>
      </c>
      <c r="E5" s="16" t="inlineStr">
        <is>
          <t>Display title (what students see)</t>
        </is>
      </c>
      <c r="F5" s="16" t="inlineStr">
        <is>
          <t>Public URL or local path</t>
        </is>
      </c>
      <c r="G5" s="16" t="inlineStr">
        <is>
          <t>Pick from list. Sets the deliverable type for the Course Generator.</t>
        </is>
      </c>
      <c r="H5" s="16" t="inlineStr">
        <is>
          <t>Yes = generate as accessible HTML instead of the original format. No = keep original (you handle accessibility). N/A = already HTML or not a document.</t>
        </is>
      </c>
      <c r="I5" s="16" t="inlineStr">
        <is>
          <t>Pick from list</t>
        </is>
      </c>
      <c r="J5" s="16" t="inlineStr">
        <is>
          <t>Pick from list</t>
        </is>
      </c>
      <c r="K5" s="16" t="inlineStr">
        <is>
          <t>Pick from list</t>
        </is>
      </c>
      <c r="L5" s="16" t="inlineStr">
        <is>
          <t>Optional</t>
        </is>
      </c>
    </row>
    <row r="6" ht="24" customHeight="1">
      <c r="A6" s="17" t="inlineStr">
        <is>
          <t>A001</t>
        </is>
      </c>
      <c r="B6" s="17" t="inlineStr">
        <is>
          <t>M01</t>
        </is>
      </c>
      <c r="C6" s="17" t="inlineStr">
        <is>
          <t>1</t>
        </is>
      </c>
      <c r="D6" s="17" t="inlineStr">
        <is>
          <t>Video</t>
        </is>
      </c>
      <c r="E6" s="17" t="inlineStr">
        <is>
          <t>Intro to the cell</t>
        </is>
      </c>
      <c r="F6" s="17" t="inlineStr">
        <is>
          <t>https://...</t>
        </is>
      </c>
      <c r="G6" s="17" t="inlineStr">
        <is>
          <t>Video</t>
        </is>
      </c>
      <c r="H6" s="17" t="inlineStr">
        <is>
          <t>N/A</t>
        </is>
      </c>
      <c r="I6" s="17" t="inlineStr">
        <is>
          <t>YouTube</t>
        </is>
      </c>
      <c r="J6" s="17" t="inlineStr">
        <is>
          <t>N/A</t>
        </is>
      </c>
      <c r="K6" s="17" t="inlineStr">
        <is>
          <t>Live</t>
        </is>
      </c>
      <c r="L6" s="17" t="inlineStr"/>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row r="55">
      <c r="A55" s="18" t="n"/>
      <c r="B55" s="18" t="n"/>
      <c r="C55" s="18" t="n"/>
      <c r="D55" s="18" t="n"/>
      <c r="E55" s="18" t="n"/>
      <c r="F55" s="18" t="n"/>
      <c r="G55" s="18" t="n"/>
      <c r="H55" s="18" t="n"/>
      <c r="I55" s="18" t="n"/>
      <c r="J55" s="18" t="n"/>
      <c r="K55" s="18" t="n"/>
      <c r="L55" s="18" t="n"/>
    </row>
    <row r="56">
      <c r="A56" s="18" t="n"/>
      <c r="B56" s="18" t="n"/>
      <c r="C56" s="18" t="n"/>
      <c r="D56" s="18" t="n"/>
      <c r="E56" s="18" t="n"/>
      <c r="F56" s="18" t="n"/>
      <c r="G56" s="18" t="n"/>
      <c r="H56" s="18" t="n"/>
      <c r="I56" s="18" t="n"/>
      <c r="J56" s="18" t="n"/>
      <c r="K56" s="18" t="n"/>
      <c r="L56" s="18" t="n"/>
    </row>
    <row r="57">
      <c r="A57" s="18" t="n"/>
      <c r="B57" s="18" t="n"/>
      <c r="C57" s="18" t="n"/>
      <c r="D57" s="18" t="n"/>
      <c r="E57" s="18" t="n"/>
      <c r="F57" s="18" t="n"/>
      <c r="G57" s="18" t="n"/>
      <c r="H57" s="18" t="n"/>
      <c r="I57" s="18" t="n"/>
      <c r="J57" s="18" t="n"/>
      <c r="K57" s="18" t="n"/>
      <c r="L57" s="18" t="n"/>
    </row>
    <row r="58">
      <c r="A58" s="18" t="n"/>
      <c r="B58" s="18" t="n"/>
      <c r="C58" s="18" t="n"/>
      <c r="D58" s="18" t="n"/>
      <c r="E58" s="18" t="n"/>
      <c r="F58" s="18" t="n"/>
      <c r="G58" s="18" t="n"/>
      <c r="H58" s="18" t="n"/>
      <c r="I58" s="18" t="n"/>
      <c r="J58" s="18" t="n"/>
      <c r="K58" s="18" t="n"/>
      <c r="L58" s="18" t="n"/>
    </row>
    <row r="59">
      <c r="A59" s="18" t="n"/>
      <c r="B59" s="18" t="n"/>
      <c r="C59" s="18" t="n"/>
      <c r="D59" s="18" t="n"/>
      <c r="E59" s="18" t="n"/>
      <c r="F59" s="18" t="n"/>
      <c r="G59" s="18" t="n"/>
      <c r="H59" s="18" t="n"/>
      <c r="I59" s="18" t="n"/>
      <c r="J59" s="18" t="n"/>
      <c r="K59" s="18" t="n"/>
      <c r="L59" s="18" t="n"/>
    </row>
    <row r="60">
      <c r="A60" s="18" t="n"/>
      <c r="B60" s="18" t="n"/>
      <c r="C60" s="18" t="n"/>
      <c r="D60" s="18" t="n"/>
      <c r="E60" s="18" t="n"/>
      <c r="F60" s="18" t="n"/>
      <c r="G60" s="18" t="n"/>
      <c r="H60" s="18" t="n"/>
      <c r="I60" s="18" t="n"/>
      <c r="J60" s="18" t="n"/>
      <c r="K60" s="18" t="n"/>
      <c r="L60" s="18" t="n"/>
    </row>
    <row r="61">
      <c r="A61" s="18" t="n"/>
      <c r="B61" s="18" t="n"/>
      <c r="C61" s="18" t="n"/>
      <c r="D61" s="18" t="n"/>
      <c r="E61" s="18" t="n"/>
      <c r="F61" s="18" t="n"/>
      <c r="G61" s="18" t="n"/>
      <c r="H61" s="18" t="n"/>
      <c r="I61" s="18" t="n"/>
      <c r="J61" s="18" t="n"/>
      <c r="K61" s="18" t="n"/>
      <c r="L61" s="18" t="n"/>
    </row>
    <row r="62">
      <c r="A62" s="18" t="n"/>
      <c r="B62" s="18" t="n"/>
      <c r="C62" s="18" t="n"/>
      <c r="D62" s="18" t="n"/>
      <c r="E62" s="18" t="n"/>
      <c r="F62" s="18" t="n"/>
      <c r="G62" s="18" t="n"/>
      <c r="H62" s="18" t="n"/>
      <c r="I62" s="18" t="n"/>
      <c r="J62" s="18" t="n"/>
      <c r="K62" s="18" t="n"/>
      <c r="L62" s="18" t="n"/>
    </row>
    <row r="63">
      <c r="A63" s="18" t="n"/>
      <c r="B63" s="18" t="n"/>
      <c r="C63" s="18" t="n"/>
      <c r="D63" s="18" t="n"/>
      <c r="E63" s="18" t="n"/>
      <c r="F63" s="18" t="n"/>
      <c r="G63" s="18" t="n"/>
      <c r="H63" s="18" t="n"/>
      <c r="I63" s="18" t="n"/>
      <c r="J63" s="18" t="n"/>
      <c r="K63" s="18" t="n"/>
      <c r="L63" s="18" t="n"/>
    </row>
    <row r="64">
      <c r="A64" s="18" t="n"/>
      <c r="B64" s="18" t="n"/>
      <c r="C64" s="18" t="n"/>
      <c r="D64" s="18" t="n"/>
      <c r="E64" s="18" t="n"/>
      <c r="F64" s="18" t="n"/>
      <c r="G64" s="18" t="n"/>
      <c r="H64" s="18" t="n"/>
      <c r="I64" s="18" t="n"/>
      <c r="J64" s="18" t="n"/>
      <c r="K64" s="18" t="n"/>
      <c r="L64" s="18" t="n"/>
    </row>
    <row r="65">
      <c r="A65" s="18" t="n"/>
      <c r="B65" s="18" t="n"/>
      <c r="C65" s="18" t="n"/>
      <c r="D65" s="18" t="n"/>
      <c r="E65" s="18" t="n"/>
      <c r="F65" s="18" t="n"/>
      <c r="G65" s="18" t="n"/>
      <c r="H65" s="18" t="n"/>
      <c r="I65" s="18" t="n"/>
      <c r="J65" s="18" t="n"/>
      <c r="K65" s="18" t="n"/>
      <c r="L65" s="18" t="n"/>
    </row>
    <row r="66">
      <c r="A66" s="18" t="n"/>
      <c r="B66" s="18" t="n"/>
      <c r="C66" s="18" t="n"/>
      <c r="D66" s="18" t="n"/>
      <c r="E66" s="18" t="n"/>
      <c r="F66" s="18" t="n"/>
      <c r="G66" s="18" t="n"/>
      <c r="H66" s="18" t="n"/>
      <c r="I66" s="18" t="n"/>
      <c r="J66" s="18" t="n"/>
      <c r="K66" s="18" t="n"/>
      <c r="L66" s="18" t="n"/>
    </row>
    <row r="67">
      <c r="A67" s="18" t="n"/>
      <c r="B67" s="18" t="n"/>
      <c r="C67" s="18" t="n"/>
      <c r="D67" s="18" t="n"/>
      <c r="E67" s="18" t="n"/>
      <c r="F67" s="18" t="n"/>
      <c r="G67" s="18" t="n"/>
      <c r="H67" s="18" t="n"/>
      <c r="I67" s="18" t="n"/>
      <c r="J67" s="18" t="n"/>
      <c r="K67" s="18" t="n"/>
      <c r="L67" s="18" t="n"/>
    </row>
    <row r="68">
      <c r="A68" s="18" t="n"/>
      <c r="B68" s="18" t="n"/>
      <c r="C68" s="18" t="n"/>
      <c r="D68" s="18" t="n"/>
      <c r="E68" s="18" t="n"/>
      <c r="F68" s="18" t="n"/>
      <c r="G68" s="18" t="n"/>
      <c r="H68" s="18" t="n"/>
      <c r="I68" s="18" t="n"/>
      <c r="J68" s="18" t="n"/>
      <c r="K68" s="18" t="n"/>
      <c r="L68" s="18" t="n"/>
    </row>
    <row r="69">
      <c r="A69" s="18" t="n"/>
      <c r="B69" s="18" t="n"/>
      <c r="C69" s="18" t="n"/>
      <c r="D69" s="18" t="n"/>
      <c r="E69" s="18" t="n"/>
      <c r="F69" s="18" t="n"/>
      <c r="G69" s="18" t="n"/>
      <c r="H69" s="18" t="n"/>
      <c r="I69" s="18" t="n"/>
      <c r="J69" s="18" t="n"/>
      <c r="K69" s="18" t="n"/>
      <c r="L69" s="18" t="n"/>
    </row>
    <row r="70">
      <c r="A70" s="18" t="n"/>
      <c r="B70" s="18" t="n"/>
      <c r="C70" s="18" t="n"/>
      <c r="D70" s="18" t="n"/>
      <c r="E70" s="18" t="n"/>
      <c r="F70" s="18" t="n"/>
      <c r="G70" s="18" t="n"/>
      <c r="H70" s="18" t="n"/>
      <c r="I70" s="18" t="n"/>
      <c r="J70" s="18" t="n"/>
      <c r="K70" s="18" t="n"/>
      <c r="L70" s="18" t="n"/>
    </row>
    <row r="71">
      <c r="A71" s="18" t="n"/>
      <c r="B71" s="18" t="n"/>
      <c r="C71" s="18" t="n"/>
      <c r="D71" s="18" t="n"/>
      <c r="E71" s="18" t="n"/>
      <c r="F71" s="18" t="n"/>
      <c r="G71" s="18" t="n"/>
      <c r="H71" s="18" t="n"/>
      <c r="I71" s="18" t="n"/>
      <c r="J71" s="18" t="n"/>
      <c r="K71" s="18" t="n"/>
      <c r="L71" s="18" t="n"/>
    </row>
    <row r="72">
      <c r="A72" s="18" t="n"/>
      <c r="B72" s="18" t="n"/>
      <c r="C72" s="18" t="n"/>
      <c r="D72" s="18" t="n"/>
      <c r="E72" s="18" t="n"/>
      <c r="F72" s="18" t="n"/>
      <c r="G72" s="18" t="n"/>
      <c r="H72" s="18" t="n"/>
      <c r="I72" s="18" t="n"/>
      <c r="J72" s="18" t="n"/>
      <c r="K72" s="18" t="n"/>
      <c r="L72" s="18" t="n"/>
    </row>
    <row r="73">
      <c r="A73" s="18" t="n"/>
      <c r="B73" s="18" t="n"/>
      <c r="C73" s="18" t="n"/>
      <c r="D73" s="18" t="n"/>
      <c r="E73" s="18" t="n"/>
      <c r="F73" s="18" t="n"/>
      <c r="G73" s="18" t="n"/>
      <c r="H73" s="18" t="n"/>
      <c r="I73" s="18" t="n"/>
      <c r="J73" s="18" t="n"/>
      <c r="K73" s="18" t="n"/>
      <c r="L73" s="18" t="n"/>
    </row>
    <row r="74">
      <c r="A74" s="18" t="n"/>
      <c r="B74" s="18" t="n"/>
      <c r="C74" s="18" t="n"/>
      <c r="D74" s="18" t="n"/>
      <c r="E74" s="18" t="n"/>
      <c r="F74" s="18" t="n"/>
      <c r="G74" s="18" t="n"/>
      <c r="H74" s="18" t="n"/>
      <c r="I74" s="18" t="n"/>
      <c r="J74" s="18" t="n"/>
      <c r="K74" s="18" t="n"/>
      <c r="L74" s="18" t="n"/>
    </row>
    <row r="75">
      <c r="A75" s="18" t="n"/>
      <c r="B75" s="18" t="n"/>
      <c r="C75" s="18" t="n"/>
      <c r="D75" s="18" t="n"/>
      <c r="E75" s="18" t="n"/>
      <c r="F75" s="18" t="n"/>
      <c r="G75" s="18" t="n"/>
      <c r="H75" s="18" t="n"/>
      <c r="I75" s="18" t="n"/>
      <c r="J75" s="18" t="n"/>
      <c r="K75" s="18" t="n"/>
      <c r="L75" s="18" t="n"/>
    </row>
    <row r="76">
      <c r="A76" s="18" t="n"/>
      <c r="B76" s="18" t="n"/>
      <c r="C76" s="18" t="n"/>
      <c r="D76" s="18" t="n"/>
      <c r="E76" s="18" t="n"/>
      <c r="F76" s="18" t="n"/>
      <c r="G76" s="18" t="n"/>
      <c r="H76" s="18" t="n"/>
      <c r="I76" s="18" t="n"/>
      <c r="J76" s="18" t="n"/>
      <c r="K76" s="18" t="n"/>
      <c r="L76" s="18" t="n"/>
    </row>
    <row r="77">
      <c r="A77" s="18" t="n"/>
      <c r="B77" s="18" t="n"/>
      <c r="C77" s="18" t="n"/>
      <c r="D77" s="18" t="n"/>
      <c r="E77" s="18" t="n"/>
      <c r="F77" s="18" t="n"/>
      <c r="G77" s="18" t="n"/>
      <c r="H77" s="18" t="n"/>
      <c r="I77" s="18" t="n"/>
      <c r="J77" s="18" t="n"/>
      <c r="K77" s="18" t="n"/>
      <c r="L77" s="18" t="n"/>
    </row>
    <row r="78">
      <c r="A78" s="18" t="n"/>
      <c r="B78" s="18" t="n"/>
      <c r="C78" s="18" t="n"/>
      <c r="D78" s="18" t="n"/>
      <c r="E78" s="18" t="n"/>
      <c r="F78" s="18" t="n"/>
      <c r="G78" s="18" t="n"/>
      <c r="H78" s="18" t="n"/>
      <c r="I78" s="18" t="n"/>
      <c r="J78" s="18" t="n"/>
      <c r="K78" s="18" t="n"/>
      <c r="L78" s="18" t="n"/>
    </row>
    <row r="79">
      <c r="A79" s="18" t="n"/>
      <c r="B79" s="18" t="n"/>
      <c r="C79" s="18" t="n"/>
      <c r="D79" s="18" t="n"/>
      <c r="E79" s="18" t="n"/>
      <c r="F79" s="18" t="n"/>
      <c r="G79" s="18" t="n"/>
      <c r="H79" s="18" t="n"/>
      <c r="I79" s="18" t="n"/>
      <c r="J79" s="18" t="n"/>
      <c r="K79" s="18" t="n"/>
      <c r="L79" s="18" t="n"/>
    </row>
    <row r="80">
      <c r="A80" s="18" t="n"/>
      <c r="B80" s="18" t="n"/>
      <c r="C80" s="18" t="n"/>
      <c r="D80" s="18" t="n"/>
      <c r="E80" s="18" t="n"/>
      <c r="F80" s="18" t="n"/>
      <c r="G80" s="18" t="n"/>
      <c r="H80" s="18" t="n"/>
      <c r="I80" s="18" t="n"/>
      <c r="J80" s="18" t="n"/>
      <c r="K80" s="18" t="n"/>
      <c r="L80" s="18" t="n"/>
    </row>
    <row r="81">
      <c r="A81" s="18" t="n"/>
      <c r="B81" s="18" t="n"/>
      <c r="C81" s="18" t="n"/>
      <c r="D81" s="18" t="n"/>
      <c r="E81" s="18" t="n"/>
      <c r="F81" s="18" t="n"/>
      <c r="G81" s="18" t="n"/>
      <c r="H81" s="18" t="n"/>
      <c r="I81" s="18" t="n"/>
      <c r="J81" s="18" t="n"/>
      <c r="K81" s="18" t="n"/>
      <c r="L81" s="18" t="n"/>
    </row>
    <row r="82">
      <c r="A82" s="18" t="n"/>
      <c r="B82" s="18" t="n"/>
      <c r="C82" s="18" t="n"/>
      <c r="D82" s="18" t="n"/>
      <c r="E82" s="18" t="n"/>
      <c r="F82" s="18" t="n"/>
      <c r="G82" s="18" t="n"/>
      <c r="H82" s="18" t="n"/>
      <c r="I82" s="18" t="n"/>
      <c r="J82" s="18" t="n"/>
      <c r="K82" s="18" t="n"/>
      <c r="L82" s="18" t="n"/>
    </row>
    <row r="83">
      <c r="A83" s="18" t="n"/>
      <c r="B83" s="18" t="n"/>
      <c r="C83" s="18" t="n"/>
      <c r="D83" s="18" t="n"/>
      <c r="E83" s="18" t="n"/>
      <c r="F83" s="18" t="n"/>
      <c r="G83" s="18" t="n"/>
      <c r="H83" s="18" t="n"/>
      <c r="I83" s="18" t="n"/>
      <c r="J83" s="18" t="n"/>
      <c r="K83" s="18" t="n"/>
      <c r="L83" s="18" t="n"/>
    </row>
    <row r="84">
      <c r="A84" s="18" t="n"/>
      <c r="B84" s="18" t="n"/>
      <c r="C84" s="18" t="n"/>
      <c r="D84" s="18" t="n"/>
      <c r="E84" s="18" t="n"/>
      <c r="F84" s="18" t="n"/>
      <c r="G84" s="18" t="n"/>
      <c r="H84" s="18" t="n"/>
      <c r="I84" s="18" t="n"/>
      <c r="J84" s="18" t="n"/>
      <c r="K84" s="18" t="n"/>
      <c r="L84" s="18" t="n"/>
    </row>
    <row r="85">
      <c r="A85" s="18" t="n"/>
      <c r="B85" s="18" t="n"/>
      <c r="C85" s="18" t="n"/>
      <c r="D85" s="18" t="n"/>
      <c r="E85" s="18" t="n"/>
      <c r="F85" s="18" t="n"/>
      <c r="G85" s="18" t="n"/>
      <c r="H85" s="18" t="n"/>
      <c r="I85" s="18" t="n"/>
      <c r="J85" s="18" t="n"/>
      <c r="K85" s="18" t="n"/>
      <c r="L85" s="18" t="n"/>
    </row>
    <row r="86">
      <c r="A86" s="18" t="n"/>
      <c r="B86" s="18" t="n"/>
      <c r="C86" s="18" t="n"/>
      <c r="D86" s="18" t="n"/>
      <c r="E86" s="18" t="n"/>
      <c r="F86" s="18" t="n"/>
      <c r="G86" s="18" t="n"/>
      <c r="H86" s="18" t="n"/>
      <c r="I86" s="18" t="n"/>
      <c r="J86" s="18" t="n"/>
      <c r="K86" s="18" t="n"/>
      <c r="L86" s="18" t="n"/>
    </row>
  </sheetData>
  <mergeCells count="3">
    <mergeCell ref="A3:L3"/>
    <mergeCell ref="A2:L2"/>
    <mergeCell ref="A1:L1"/>
  </mergeCells>
  <dataValidations count="6">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showDropDown="0" showInputMessage="0" showErrorMessage="0" allowBlank="1" type="list">
      <formula1>=Lookups!$K$2:$K$16</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showDropDown="0" showInputMessage="0" showErrorMessage="0" allowBlank="1" type="list">
      <formula1>=Lookups!$H$2:$H$11</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showDropDown="0" showInputMessage="0" showErrorMessage="0" allowBlank="1" type="list">
      <formula1>=Lookups!$I$2:$I$4</formula1>
    </dataValidation>
    <dataValidation sqref="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showDropDown="0" showInputMessage="0" showErrorMessage="0" allowBlank="1" type="list">
      <formula1>=Lookups!$L$2:$L$11</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showDropDown="0" showInputMessage="0" showErrorMessage="0" allowBlank="1" type="list">
      <formula1>=Lookups!$G$2:$G$5</formula1>
    </dataValidation>
    <dataValidation sqref="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showDropDown="0" showInputMessage="0" showErrorMessage="0" allowBlank="1" type="list">
      <formula1>=Lookups!$E$2:$E$8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6"/>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8" customWidth="1" min="3" max="3"/>
    <col width="14" customWidth="1" min="4" max="4"/>
    <col width="40" customWidth="1" min="5" max="5"/>
    <col width="22" customWidth="1" min="6" max="6"/>
    <col width="22" customWidth="1" min="7" max="7"/>
    <col width="22" customWidth="1" min="8" max="8"/>
  </cols>
  <sheetData>
    <row r="1" ht="16" customHeight="1">
      <c r="A1" s="1" t="inlineStr">
        <is>
          <t>TAB 05</t>
        </is>
      </c>
    </row>
    <row r="2" ht="28" customHeight="1">
      <c r="A2" s="2" t="inlineStr">
        <is>
          <t>Schedule &amp; Pacing</t>
        </is>
      </c>
    </row>
    <row r="3" ht="28" customHeight="1">
      <c r="A3" s="3" t="inlineStr">
        <is>
          <t>One row per session or pre-work block. Pair with the Module Builder.</t>
        </is>
      </c>
    </row>
    <row r="4" ht="36" customHeight="1">
      <c r="A4" s="15" t="inlineStr">
        <is>
          <t>Week</t>
        </is>
      </c>
      <c r="B4" s="15" t="inlineStr">
        <is>
          <t>Date</t>
        </is>
      </c>
      <c r="C4" s="15" t="inlineStr">
        <is>
          <t>Day</t>
        </is>
      </c>
      <c r="D4" s="15" t="inlineStr">
        <is>
          <t>Module/Unit</t>
        </is>
      </c>
      <c r="E4" s="15" t="inlineStr">
        <is>
          <t>Topics</t>
        </is>
      </c>
      <c r="F4" s="15" t="inlineStr">
        <is>
          <t>Pre-class</t>
        </is>
      </c>
      <c r="G4" s="15" t="inlineStr">
        <is>
          <t>In-class</t>
        </is>
      </c>
      <c r="H4" s="15" t="inlineStr">
        <is>
          <t>Post-class</t>
        </is>
      </c>
    </row>
    <row r="5" ht="56" customHeight="1">
      <c r="A5" s="16" t="inlineStr">
        <is>
          <t>Week #</t>
        </is>
      </c>
      <c r="B5" s="16" t="inlineStr">
        <is>
          <t>YYYY-MM-DD</t>
        </is>
      </c>
      <c r="C5" s="16" t="inlineStr">
        <is>
          <t>Pick</t>
        </is>
      </c>
      <c r="D5" s="16" t="inlineStr">
        <is>
          <t>Module ID</t>
        </is>
      </c>
      <c r="E5" s="16" t="inlineStr">
        <is>
          <t>Comma-separated topics</t>
        </is>
      </c>
      <c r="F5" s="16" t="inlineStr">
        <is>
          <t>Asset IDs</t>
        </is>
      </c>
      <c r="G5" s="16" t="inlineStr">
        <is>
          <t>Activity IDs</t>
        </is>
      </c>
      <c r="H5" s="16" t="inlineStr">
        <is>
          <t>Asset/Assessment IDs</t>
        </is>
      </c>
    </row>
    <row r="6" ht="24" customHeight="1">
      <c r="A6" s="17" t="n">
        <v>1</v>
      </c>
      <c r="B6" s="17" t="inlineStr">
        <is>
          <t>2026-08-25</t>
        </is>
      </c>
      <c r="C6" s="17" t="inlineStr">
        <is>
          <t>Mon</t>
        </is>
      </c>
      <c r="D6" s="17" t="inlineStr">
        <is>
          <t>M01</t>
        </is>
      </c>
      <c r="E6" s="17" t="inlineStr">
        <is>
          <t>Levels of organization</t>
        </is>
      </c>
      <c r="F6" s="17" t="inlineStr">
        <is>
          <t>A001</t>
        </is>
      </c>
      <c r="G6" s="17" t="inlineStr">
        <is>
          <t>E01</t>
        </is>
      </c>
      <c r="H6" s="17" t="inlineStr">
        <is>
          <t>A002</t>
        </is>
      </c>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sheetData>
  <mergeCells count="3">
    <mergeCell ref="A3:H3"/>
    <mergeCell ref="A2:H2"/>
    <mergeCell ref="A1:H1"/>
  </mergeCells>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showDropDown="0" showInputMessage="0" showErrorMessage="0" allowBlank="1" type="list">
      <formula1>=Lookups!$S$2:$S$8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6"/>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10" customWidth="1" min="3" max="3"/>
    <col width="18" customWidth="1" min="4" max="4"/>
    <col width="18" customWidth="1" min="5" max="5"/>
    <col width="18" customWidth="1" min="6" max="6"/>
    <col width="18" customWidth="1" min="7" max="7"/>
    <col width="18" customWidth="1" min="8" max="8"/>
    <col width="12" customWidth="1" min="9" max="9"/>
    <col width="30" customWidth="1" min="10" max="10"/>
  </cols>
  <sheetData>
    <row r="1" ht="16" customHeight="1">
      <c r="A1" s="1" t="inlineStr">
        <is>
          <t>TAB 06</t>
        </is>
      </c>
    </row>
    <row r="2" ht="28" customHeight="1">
      <c r="A2" s="2" t="inlineStr">
        <is>
          <t>Module Builder</t>
        </is>
      </c>
    </row>
    <row r="3" ht="28" customHeight="1">
      <c r="A3" s="3" t="inlineStr">
        <is>
          <t>The structural unit. Each module ties outcomes, assets, activities, and assessments together.</t>
        </is>
      </c>
    </row>
    <row r="4" ht="36" customHeight="1">
      <c r="A4" s="15" t="inlineStr">
        <is>
          <t>Module ID</t>
        </is>
      </c>
      <c r="B4" s="15" t="inlineStr">
        <is>
          <t>Module Title</t>
        </is>
      </c>
      <c r="C4" s="15" t="inlineStr">
        <is>
          <t>Sequence #</t>
        </is>
      </c>
      <c r="D4" s="15" t="inlineStr">
        <is>
          <t>Outcome IDs</t>
        </is>
      </c>
      <c r="E4" s="15" t="inlineStr">
        <is>
          <t>Pre-Class Asset IDs</t>
        </is>
      </c>
      <c r="F4" s="15" t="inlineStr">
        <is>
          <t>In-Class Activity IDs</t>
        </is>
      </c>
      <c r="G4" s="15" t="inlineStr">
        <is>
          <t>Post-Class Asset IDs</t>
        </is>
      </c>
      <c r="H4" s="15" t="inlineStr">
        <is>
          <t>Assessment IDs</t>
        </is>
      </c>
      <c r="I4" s="15" t="inlineStr">
        <is>
          <t>Lab IDs</t>
        </is>
      </c>
      <c r="J4" s="15" t="inlineStr">
        <is>
          <t>Notes</t>
        </is>
      </c>
    </row>
    <row r="5" ht="56" customHeight="1">
      <c r="A5" s="16" t="inlineStr">
        <is>
          <t>M01, M02…</t>
        </is>
      </c>
      <c r="B5" s="16" t="inlineStr">
        <is>
          <t>What this module is about</t>
        </is>
      </c>
      <c r="C5" s="16" t="inlineStr">
        <is>
          <t>1, 2, 3…</t>
        </is>
      </c>
      <c r="D5" s="16" t="inlineStr">
        <is>
          <t>Comma-separated</t>
        </is>
      </c>
      <c r="E5" s="16" t="inlineStr">
        <is>
          <t>Asset IDs</t>
        </is>
      </c>
      <c r="F5" s="16" t="inlineStr">
        <is>
          <t>Engagement IDs</t>
        </is>
      </c>
      <c r="G5" s="16" t="inlineStr">
        <is>
          <t>Asset IDs</t>
        </is>
      </c>
      <c r="H5" s="16" t="inlineStr">
        <is>
          <t>Assessment IDs</t>
        </is>
      </c>
      <c r="I5" s="16" t="inlineStr">
        <is>
          <t>Lab IDs</t>
        </is>
      </c>
      <c r="J5" s="16" t="inlineStr">
        <is>
          <t>Optional</t>
        </is>
      </c>
    </row>
    <row r="6" ht="24" customHeight="1">
      <c r="A6" s="17" t="inlineStr">
        <is>
          <t>M01</t>
        </is>
      </c>
      <c r="B6" s="17" t="inlineStr">
        <is>
          <t>Foundations</t>
        </is>
      </c>
      <c r="C6" s="17" t="inlineStr">
        <is>
          <t>1</t>
        </is>
      </c>
      <c r="D6" s="17" t="inlineStr">
        <is>
          <t>LO01</t>
        </is>
      </c>
      <c r="E6" s="17" t="inlineStr">
        <is>
          <t>A001</t>
        </is>
      </c>
      <c r="F6" s="17" t="inlineStr">
        <is>
          <t>E01</t>
        </is>
      </c>
      <c r="G6" s="17" t="inlineStr">
        <is>
          <t>A002</t>
        </is>
      </c>
      <c r="H6" s="17" t="inlineStr">
        <is>
          <t>A01</t>
        </is>
      </c>
      <c r="I6" s="17" t="inlineStr"/>
      <c r="J6" s="17" t="inlineStr">
        <is>
          <t>Anatomy/physiology scope set in Brand Sheet</t>
        </is>
      </c>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row r="64">
      <c r="A64" s="18" t="n"/>
      <c r="B64" s="18" t="n"/>
      <c r="C64" s="18" t="n"/>
      <c r="D64" s="18" t="n"/>
      <c r="E64" s="18" t="n"/>
      <c r="F64" s="18" t="n"/>
      <c r="G64" s="18" t="n"/>
      <c r="H64" s="18" t="n"/>
      <c r="I64" s="18" t="n"/>
      <c r="J64" s="18" t="n"/>
    </row>
    <row r="65">
      <c r="A65" s="18" t="n"/>
      <c r="B65" s="18" t="n"/>
      <c r="C65" s="18" t="n"/>
      <c r="D65" s="18" t="n"/>
      <c r="E65" s="18" t="n"/>
      <c r="F65" s="18" t="n"/>
      <c r="G65" s="18" t="n"/>
      <c r="H65" s="18" t="n"/>
      <c r="I65" s="18" t="n"/>
      <c r="J65" s="18" t="n"/>
    </row>
    <row r="66">
      <c r="A66" s="18" t="n"/>
      <c r="B66" s="18" t="n"/>
      <c r="C66" s="18" t="n"/>
      <c r="D66" s="18" t="n"/>
      <c r="E66" s="18" t="n"/>
      <c r="F66" s="18" t="n"/>
      <c r="G66" s="18" t="n"/>
      <c r="H66" s="18" t="n"/>
      <c r="I66" s="18" t="n"/>
      <c r="J66" s="18" t="n"/>
    </row>
    <row r="67">
      <c r="A67" s="18" t="n"/>
      <c r="B67" s="18" t="n"/>
      <c r="C67" s="18" t="n"/>
      <c r="D67" s="18" t="n"/>
      <c r="E67" s="18" t="n"/>
      <c r="F67" s="18" t="n"/>
      <c r="G67" s="18" t="n"/>
      <c r="H67" s="18" t="n"/>
      <c r="I67" s="18" t="n"/>
      <c r="J67" s="18" t="n"/>
    </row>
    <row r="68">
      <c r="A68" s="18" t="n"/>
      <c r="B68" s="18" t="n"/>
      <c r="C68" s="18" t="n"/>
      <c r="D68" s="18" t="n"/>
      <c r="E68" s="18" t="n"/>
      <c r="F68" s="18" t="n"/>
      <c r="G68" s="18" t="n"/>
      <c r="H68" s="18" t="n"/>
      <c r="I68" s="18" t="n"/>
      <c r="J68" s="18" t="n"/>
    </row>
    <row r="69">
      <c r="A69" s="18" t="n"/>
      <c r="B69" s="18" t="n"/>
      <c r="C69" s="18" t="n"/>
      <c r="D69" s="18" t="n"/>
      <c r="E69" s="18" t="n"/>
      <c r="F69" s="18" t="n"/>
      <c r="G69" s="18" t="n"/>
      <c r="H69" s="18" t="n"/>
      <c r="I69" s="18" t="n"/>
      <c r="J69" s="18" t="n"/>
    </row>
    <row r="70">
      <c r="A70" s="18" t="n"/>
      <c r="B70" s="18" t="n"/>
      <c r="C70" s="18" t="n"/>
      <c r="D70" s="18" t="n"/>
      <c r="E70" s="18" t="n"/>
      <c r="F70" s="18" t="n"/>
      <c r="G70" s="18" t="n"/>
      <c r="H70" s="18" t="n"/>
      <c r="I70" s="18" t="n"/>
      <c r="J70" s="18" t="n"/>
    </row>
    <row r="71">
      <c r="A71" s="18" t="n"/>
      <c r="B71" s="18" t="n"/>
      <c r="C71" s="18" t="n"/>
      <c r="D71" s="18" t="n"/>
      <c r="E71" s="18" t="n"/>
      <c r="F71" s="18" t="n"/>
      <c r="G71" s="18" t="n"/>
      <c r="H71" s="18" t="n"/>
      <c r="I71" s="18" t="n"/>
      <c r="J71" s="18" t="n"/>
    </row>
    <row r="72">
      <c r="A72" s="18" t="n"/>
      <c r="B72" s="18" t="n"/>
      <c r="C72" s="18" t="n"/>
      <c r="D72" s="18" t="n"/>
      <c r="E72" s="18" t="n"/>
      <c r="F72" s="18" t="n"/>
      <c r="G72" s="18" t="n"/>
      <c r="H72" s="18" t="n"/>
      <c r="I72" s="18" t="n"/>
      <c r="J72" s="18" t="n"/>
    </row>
    <row r="73">
      <c r="A73" s="18" t="n"/>
      <c r="B73" s="18" t="n"/>
      <c r="C73" s="18" t="n"/>
      <c r="D73" s="18" t="n"/>
      <c r="E73" s="18" t="n"/>
      <c r="F73" s="18" t="n"/>
      <c r="G73" s="18" t="n"/>
      <c r="H73" s="18" t="n"/>
      <c r="I73" s="18" t="n"/>
      <c r="J73" s="18" t="n"/>
    </row>
    <row r="74">
      <c r="A74" s="18" t="n"/>
      <c r="B74" s="18" t="n"/>
      <c r="C74" s="18" t="n"/>
      <c r="D74" s="18" t="n"/>
      <c r="E74" s="18" t="n"/>
      <c r="F74" s="18" t="n"/>
      <c r="G74" s="18" t="n"/>
      <c r="H74" s="18" t="n"/>
      <c r="I74" s="18" t="n"/>
      <c r="J74" s="18" t="n"/>
    </row>
    <row r="75">
      <c r="A75" s="18" t="n"/>
      <c r="B75" s="18" t="n"/>
      <c r="C75" s="18" t="n"/>
      <c r="D75" s="18" t="n"/>
      <c r="E75" s="18" t="n"/>
      <c r="F75" s="18" t="n"/>
      <c r="G75" s="18" t="n"/>
      <c r="H75" s="18" t="n"/>
      <c r="I75" s="18" t="n"/>
      <c r="J75" s="18" t="n"/>
    </row>
    <row r="76">
      <c r="A76" s="18" t="n"/>
      <c r="B76" s="18" t="n"/>
      <c r="C76" s="18" t="n"/>
      <c r="D76" s="18" t="n"/>
      <c r="E76" s="18" t="n"/>
      <c r="F76" s="18" t="n"/>
      <c r="G76" s="18" t="n"/>
      <c r="H76" s="18" t="n"/>
      <c r="I76" s="18" t="n"/>
      <c r="J76" s="18" t="n"/>
    </row>
    <row r="77">
      <c r="A77" s="18" t="n"/>
      <c r="B77" s="18" t="n"/>
      <c r="C77" s="18" t="n"/>
      <c r="D77" s="18" t="n"/>
      <c r="E77" s="18" t="n"/>
      <c r="F77" s="18" t="n"/>
      <c r="G77" s="18" t="n"/>
      <c r="H77" s="18" t="n"/>
      <c r="I77" s="18" t="n"/>
      <c r="J77" s="18" t="n"/>
    </row>
    <row r="78">
      <c r="A78" s="18" t="n"/>
      <c r="B78" s="18" t="n"/>
      <c r="C78" s="18" t="n"/>
      <c r="D78" s="18" t="n"/>
      <c r="E78" s="18" t="n"/>
      <c r="F78" s="18" t="n"/>
      <c r="G78" s="18" t="n"/>
      <c r="H78" s="18" t="n"/>
      <c r="I78" s="18" t="n"/>
      <c r="J78" s="18" t="n"/>
    </row>
    <row r="79">
      <c r="A79" s="18" t="n"/>
      <c r="B79" s="18" t="n"/>
      <c r="C79" s="18" t="n"/>
      <c r="D79" s="18" t="n"/>
      <c r="E79" s="18" t="n"/>
      <c r="F79" s="18" t="n"/>
      <c r="G79" s="18" t="n"/>
      <c r="H79" s="18" t="n"/>
      <c r="I79" s="18" t="n"/>
      <c r="J79" s="18" t="n"/>
    </row>
    <row r="80">
      <c r="A80" s="18" t="n"/>
      <c r="B80" s="18" t="n"/>
      <c r="C80" s="18" t="n"/>
      <c r="D80" s="18" t="n"/>
      <c r="E80" s="18" t="n"/>
      <c r="F80" s="18" t="n"/>
      <c r="G80" s="18" t="n"/>
      <c r="H80" s="18" t="n"/>
      <c r="I80" s="18" t="n"/>
      <c r="J80" s="18" t="n"/>
    </row>
    <row r="81">
      <c r="A81" s="18" t="n"/>
      <c r="B81" s="18" t="n"/>
      <c r="C81" s="18" t="n"/>
      <c r="D81" s="18" t="n"/>
      <c r="E81" s="18" t="n"/>
      <c r="F81" s="18" t="n"/>
      <c r="G81" s="18" t="n"/>
      <c r="H81" s="18" t="n"/>
      <c r="I81" s="18" t="n"/>
      <c r="J81" s="18" t="n"/>
    </row>
    <row r="82">
      <c r="A82" s="18" t="n"/>
      <c r="B82" s="18" t="n"/>
      <c r="C82" s="18" t="n"/>
      <c r="D82" s="18" t="n"/>
      <c r="E82" s="18" t="n"/>
      <c r="F82" s="18" t="n"/>
      <c r="G82" s="18" t="n"/>
      <c r="H82" s="18" t="n"/>
      <c r="I82" s="18" t="n"/>
      <c r="J82" s="18" t="n"/>
    </row>
    <row r="83">
      <c r="A83" s="18" t="n"/>
      <c r="B83" s="18" t="n"/>
      <c r="C83" s="18" t="n"/>
      <c r="D83" s="18" t="n"/>
      <c r="E83" s="18" t="n"/>
      <c r="F83" s="18" t="n"/>
      <c r="G83" s="18" t="n"/>
      <c r="H83" s="18" t="n"/>
      <c r="I83" s="18" t="n"/>
      <c r="J83" s="18" t="n"/>
    </row>
    <row r="84">
      <c r="A84" s="18" t="n"/>
      <c r="B84" s="18" t="n"/>
      <c r="C84" s="18" t="n"/>
      <c r="D84" s="18" t="n"/>
      <c r="E84" s="18" t="n"/>
      <c r="F84" s="18" t="n"/>
      <c r="G84" s="18" t="n"/>
      <c r="H84" s="18" t="n"/>
      <c r="I84" s="18" t="n"/>
      <c r="J84" s="18" t="n"/>
    </row>
    <row r="85">
      <c r="A85" s="18" t="n"/>
      <c r="B85" s="18" t="n"/>
      <c r="C85" s="18" t="n"/>
      <c r="D85" s="18" t="n"/>
      <c r="E85" s="18" t="n"/>
      <c r="F85" s="18" t="n"/>
      <c r="G85" s="18" t="n"/>
      <c r="H85" s="18" t="n"/>
      <c r="I85" s="18" t="n"/>
      <c r="J85" s="18" t="n"/>
    </row>
    <row r="86">
      <c r="A86" s="18" t="n"/>
      <c r="B86" s="18" t="n"/>
      <c r="C86" s="18" t="n"/>
      <c r="D86" s="18" t="n"/>
      <c r="E86" s="18" t="n"/>
      <c r="F86" s="18" t="n"/>
      <c r="G86" s="18" t="n"/>
      <c r="H86" s="18" t="n"/>
      <c r="I86" s="18" t="n"/>
      <c r="J86" s="18" t="n"/>
    </row>
  </sheetData>
  <mergeCells count="3">
    <mergeCell ref="A1:J1"/>
    <mergeCell ref="A3:J3"/>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6"/>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8" customWidth="1" min="3" max="3"/>
    <col width="32" customWidth="1" min="4" max="4"/>
    <col width="12" customWidth="1" min="5" max="5"/>
    <col width="14" customWidth="1" min="6" max="6"/>
    <col width="16" customWidth="1" min="7" max="7"/>
    <col width="18" customWidth="1" min="8" max="8"/>
    <col width="14" customWidth="1" min="9" max="9"/>
    <col width="30" customWidth="1" min="10" max="10"/>
  </cols>
  <sheetData>
    <row r="1" ht="16" customHeight="1">
      <c r="A1" s="1" t="inlineStr">
        <is>
          <t>TAB 07</t>
        </is>
      </c>
    </row>
    <row r="2" ht="28" customHeight="1">
      <c r="A2" s="2" t="inlineStr">
        <is>
          <t>Assessments</t>
        </is>
      </c>
    </row>
    <row r="3" ht="28" customHeight="1">
      <c r="A3" s="3" t="inlineStr">
        <is>
          <t>Every graded touchpoint. Tag each one with the outcomes it measures.</t>
        </is>
      </c>
    </row>
    <row r="4" ht="36" customHeight="1">
      <c r="A4" s="15" t="inlineStr">
        <is>
          <t>Assessment ID</t>
        </is>
      </c>
      <c r="B4" s="15" t="inlineStr">
        <is>
          <t>Module</t>
        </is>
      </c>
      <c r="C4" s="15" t="inlineStr">
        <is>
          <t>Type</t>
        </is>
      </c>
      <c r="D4" s="15" t="inlineStr">
        <is>
          <t>Title</t>
        </is>
      </c>
      <c r="E4" s="15" t="inlineStr">
        <is>
          <t>Weight (%)</t>
        </is>
      </c>
      <c r="F4" s="15" t="inlineStr">
        <is>
          <t>Format</t>
        </is>
      </c>
      <c r="G4" s="15" t="inlineStr">
        <is>
          <t>Convert to HTML?</t>
        </is>
      </c>
      <c r="H4" s="15" t="inlineStr">
        <is>
          <t>Outcome IDs</t>
        </is>
      </c>
      <c r="I4" s="15" t="inlineStr">
        <is>
          <t>Due</t>
        </is>
      </c>
      <c r="J4" s="15" t="inlineStr">
        <is>
          <t>Notes</t>
        </is>
      </c>
    </row>
    <row r="5" ht="56" customHeight="1">
      <c r="A5" s="16" t="inlineStr">
        <is>
          <t>A01, A02…</t>
        </is>
      </c>
      <c r="B5" s="16" t="inlineStr">
        <is>
          <t>Module ID</t>
        </is>
      </c>
      <c r="C5" s="16" t="inlineStr">
        <is>
          <t>Pick from list</t>
        </is>
      </c>
      <c r="D5" s="16" t="inlineStr">
        <is>
          <t>What students see</t>
        </is>
      </c>
      <c r="E5" s="16" t="inlineStr">
        <is>
          <t>0–100</t>
        </is>
      </c>
      <c r="F5" s="16" t="inlineStr">
        <is>
          <t>Pick from list. Set output format.</t>
        </is>
      </c>
      <c r="G5" s="16" t="inlineStr">
        <is>
          <t>Yes/No/N/A</t>
        </is>
      </c>
      <c r="H5" s="16" t="inlineStr">
        <is>
          <t>Comma-separated</t>
        </is>
      </c>
      <c r="I5" s="16" t="inlineStr">
        <is>
          <t>YYYY-MM-DD</t>
        </is>
      </c>
      <c r="J5" s="16" t="inlineStr">
        <is>
          <t>Rubric URL, AI-resistance notes</t>
        </is>
      </c>
    </row>
    <row r="6" ht="24" customHeight="1">
      <c r="A6" s="17" t="inlineStr">
        <is>
          <t>A01</t>
        </is>
      </c>
      <c r="B6" s="17" t="inlineStr">
        <is>
          <t>M01</t>
        </is>
      </c>
      <c r="C6" s="17" t="inlineStr">
        <is>
          <t>Quiz</t>
        </is>
      </c>
      <c r="D6" s="17" t="inlineStr">
        <is>
          <t>Module 1 readiness check</t>
        </is>
      </c>
      <c r="E6" s="17" t="inlineStr">
        <is>
          <t>5</t>
        </is>
      </c>
      <c r="F6" s="17" t="inlineStr">
        <is>
          <t>HTML</t>
        </is>
      </c>
      <c r="G6" s="17" t="inlineStr">
        <is>
          <t>N/A</t>
        </is>
      </c>
      <c r="H6" s="17" t="inlineStr">
        <is>
          <t>LO01</t>
        </is>
      </c>
      <c r="I6" s="17" t="inlineStr">
        <is>
          <t>2026-09-02</t>
        </is>
      </c>
      <c r="J6" s="17" t="inlineStr"/>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row r="64">
      <c r="A64" s="18" t="n"/>
      <c r="B64" s="18" t="n"/>
      <c r="C64" s="18" t="n"/>
      <c r="D64" s="18" t="n"/>
      <c r="E64" s="18" t="n"/>
      <c r="F64" s="18" t="n"/>
      <c r="G64" s="18" t="n"/>
      <c r="H64" s="18" t="n"/>
      <c r="I64" s="18" t="n"/>
      <c r="J64" s="18" t="n"/>
    </row>
    <row r="65">
      <c r="A65" s="18" t="n"/>
      <c r="B65" s="18" t="n"/>
      <c r="C65" s="18" t="n"/>
      <c r="D65" s="18" t="n"/>
      <c r="E65" s="18" t="n"/>
      <c r="F65" s="18" t="n"/>
      <c r="G65" s="18" t="n"/>
      <c r="H65" s="18" t="n"/>
      <c r="I65" s="18" t="n"/>
      <c r="J65" s="18" t="n"/>
    </row>
    <row r="66">
      <c r="A66" s="18" t="n"/>
      <c r="B66" s="18" t="n"/>
      <c r="C66" s="18" t="n"/>
      <c r="D66" s="18" t="n"/>
      <c r="E66" s="18" t="n"/>
      <c r="F66" s="18" t="n"/>
      <c r="G66" s="18" t="n"/>
      <c r="H66" s="18" t="n"/>
      <c r="I66" s="18" t="n"/>
      <c r="J66" s="18" t="n"/>
    </row>
    <row r="67">
      <c r="A67" s="18" t="n"/>
      <c r="B67" s="18" t="n"/>
      <c r="C67" s="18" t="n"/>
      <c r="D67" s="18" t="n"/>
      <c r="E67" s="18" t="n"/>
      <c r="F67" s="18" t="n"/>
      <c r="G67" s="18" t="n"/>
      <c r="H67" s="18" t="n"/>
      <c r="I67" s="18" t="n"/>
      <c r="J67" s="18" t="n"/>
    </row>
    <row r="68">
      <c r="A68" s="18" t="n"/>
      <c r="B68" s="18" t="n"/>
      <c r="C68" s="18" t="n"/>
      <c r="D68" s="18" t="n"/>
      <c r="E68" s="18" t="n"/>
      <c r="F68" s="18" t="n"/>
      <c r="G68" s="18" t="n"/>
      <c r="H68" s="18" t="n"/>
      <c r="I68" s="18" t="n"/>
      <c r="J68" s="18" t="n"/>
    </row>
    <row r="69">
      <c r="A69" s="18" t="n"/>
      <c r="B69" s="18" t="n"/>
      <c r="C69" s="18" t="n"/>
      <c r="D69" s="18" t="n"/>
      <c r="E69" s="18" t="n"/>
      <c r="F69" s="18" t="n"/>
      <c r="G69" s="18" t="n"/>
      <c r="H69" s="18" t="n"/>
      <c r="I69" s="18" t="n"/>
      <c r="J69" s="18" t="n"/>
    </row>
    <row r="70">
      <c r="A70" s="18" t="n"/>
      <c r="B70" s="18" t="n"/>
      <c r="C70" s="18" t="n"/>
      <c r="D70" s="18" t="n"/>
      <c r="E70" s="18" t="n"/>
      <c r="F70" s="18" t="n"/>
      <c r="G70" s="18" t="n"/>
      <c r="H70" s="18" t="n"/>
      <c r="I70" s="18" t="n"/>
      <c r="J70" s="18" t="n"/>
    </row>
    <row r="71">
      <c r="A71" s="18" t="n"/>
      <c r="B71" s="18" t="n"/>
      <c r="C71" s="18" t="n"/>
      <c r="D71" s="18" t="n"/>
      <c r="E71" s="18" t="n"/>
      <c r="F71" s="18" t="n"/>
      <c r="G71" s="18" t="n"/>
      <c r="H71" s="18" t="n"/>
      <c r="I71" s="18" t="n"/>
      <c r="J71" s="18" t="n"/>
    </row>
    <row r="72">
      <c r="A72" s="18" t="n"/>
      <c r="B72" s="18" t="n"/>
      <c r="C72" s="18" t="n"/>
      <c r="D72" s="18" t="n"/>
      <c r="E72" s="18" t="n"/>
      <c r="F72" s="18" t="n"/>
      <c r="G72" s="18" t="n"/>
      <c r="H72" s="18" t="n"/>
      <c r="I72" s="18" t="n"/>
      <c r="J72" s="18" t="n"/>
    </row>
    <row r="73">
      <c r="A73" s="18" t="n"/>
      <c r="B73" s="18" t="n"/>
      <c r="C73" s="18" t="n"/>
      <c r="D73" s="18" t="n"/>
      <c r="E73" s="18" t="n"/>
      <c r="F73" s="18" t="n"/>
      <c r="G73" s="18" t="n"/>
      <c r="H73" s="18" t="n"/>
      <c r="I73" s="18" t="n"/>
      <c r="J73" s="18" t="n"/>
    </row>
    <row r="74">
      <c r="A74" s="18" t="n"/>
      <c r="B74" s="18" t="n"/>
      <c r="C74" s="18" t="n"/>
      <c r="D74" s="18" t="n"/>
      <c r="E74" s="18" t="n"/>
      <c r="F74" s="18" t="n"/>
      <c r="G74" s="18" t="n"/>
      <c r="H74" s="18" t="n"/>
      <c r="I74" s="18" t="n"/>
      <c r="J74" s="18" t="n"/>
    </row>
    <row r="75">
      <c r="A75" s="18" t="n"/>
      <c r="B75" s="18" t="n"/>
      <c r="C75" s="18" t="n"/>
      <c r="D75" s="18" t="n"/>
      <c r="E75" s="18" t="n"/>
      <c r="F75" s="18" t="n"/>
      <c r="G75" s="18" t="n"/>
      <c r="H75" s="18" t="n"/>
      <c r="I75" s="18" t="n"/>
      <c r="J75" s="18" t="n"/>
    </row>
    <row r="76">
      <c r="A76" s="18" t="n"/>
      <c r="B76" s="18" t="n"/>
      <c r="C76" s="18" t="n"/>
      <c r="D76" s="18" t="n"/>
      <c r="E76" s="18" t="n"/>
      <c r="F76" s="18" t="n"/>
      <c r="G76" s="18" t="n"/>
      <c r="H76" s="18" t="n"/>
      <c r="I76" s="18" t="n"/>
      <c r="J76" s="18" t="n"/>
    </row>
    <row r="77">
      <c r="A77" s="18" t="n"/>
      <c r="B77" s="18" t="n"/>
      <c r="C77" s="18" t="n"/>
      <c r="D77" s="18" t="n"/>
      <c r="E77" s="18" t="n"/>
      <c r="F77" s="18" t="n"/>
      <c r="G77" s="18" t="n"/>
      <c r="H77" s="18" t="n"/>
      <c r="I77" s="18" t="n"/>
      <c r="J77" s="18" t="n"/>
    </row>
    <row r="78">
      <c r="A78" s="18" t="n"/>
      <c r="B78" s="18" t="n"/>
      <c r="C78" s="18" t="n"/>
      <c r="D78" s="18" t="n"/>
      <c r="E78" s="18" t="n"/>
      <c r="F78" s="18" t="n"/>
      <c r="G78" s="18" t="n"/>
      <c r="H78" s="18" t="n"/>
      <c r="I78" s="18" t="n"/>
      <c r="J78" s="18" t="n"/>
    </row>
    <row r="79">
      <c r="A79" s="18" t="n"/>
      <c r="B79" s="18" t="n"/>
      <c r="C79" s="18" t="n"/>
      <c r="D79" s="18" t="n"/>
      <c r="E79" s="18" t="n"/>
      <c r="F79" s="18" t="n"/>
      <c r="G79" s="18" t="n"/>
      <c r="H79" s="18" t="n"/>
      <c r="I79" s="18" t="n"/>
      <c r="J79" s="18" t="n"/>
    </row>
    <row r="80">
      <c r="A80" s="18" t="n"/>
      <c r="B80" s="18" t="n"/>
      <c r="C80" s="18" t="n"/>
      <c r="D80" s="18" t="n"/>
      <c r="E80" s="18" t="n"/>
      <c r="F80" s="18" t="n"/>
      <c r="G80" s="18" t="n"/>
      <c r="H80" s="18" t="n"/>
      <c r="I80" s="18" t="n"/>
      <c r="J80" s="18" t="n"/>
    </row>
    <row r="81">
      <c r="A81" s="18" t="n"/>
      <c r="B81" s="18" t="n"/>
      <c r="C81" s="18" t="n"/>
      <c r="D81" s="18" t="n"/>
      <c r="E81" s="18" t="n"/>
      <c r="F81" s="18" t="n"/>
      <c r="G81" s="18" t="n"/>
      <c r="H81" s="18" t="n"/>
      <c r="I81" s="18" t="n"/>
      <c r="J81" s="18" t="n"/>
    </row>
    <row r="82">
      <c r="A82" s="18" t="n"/>
      <c r="B82" s="18" t="n"/>
      <c r="C82" s="18" t="n"/>
      <c r="D82" s="18" t="n"/>
      <c r="E82" s="18" t="n"/>
      <c r="F82" s="18" t="n"/>
      <c r="G82" s="18" t="n"/>
      <c r="H82" s="18" t="n"/>
      <c r="I82" s="18" t="n"/>
      <c r="J82" s="18" t="n"/>
    </row>
    <row r="83">
      <c r="A83" s="18" t="n"/>
      <c r="B83" s="18" t="n"/>
      <c r="C83" s="18" t="n"/>
      <c r="D83" s="18" t="n"/>
      <c r="E83" s="18" t="n"/>
      <c r="F83" s="18" t="n"/>
      <c r="G83" s="18" t="n"/>
      <c r="H83" s="18" t="n"/>
      <c r="I83" s="18" t="n"/>
      <c r="J83" s="18" t="n"/>
    </row>
    <row r="84">
      <c r="A84" s="18" t="n"/>
      <c r="B84" s="18" t="n"/>
      <c r="C84" s="18" t="n"/>
      <c r="D84" s="18" t="n"/>
      <c r="E84" s="18" t="n"/>
      <c r="F84" s="18" t="n"/>
      <c r="G84" s="18" t="n"/>
      <c r="H84" s="18" t="n"/>
      <c r="I84" s="18" t="n"/>
      <c r="J84" s="18" t="n"/>
    </row>
    <row r="85">
      <c r="A85" s="18" t="n"/>
      <c r="B85" s="18" t="n"/>
      <c r="C85" s="18" t="n"/>
      <c r="D85" s="18" t="n"/>
      <c r="E85" s="18" t="n"/>
      <c r="F85" s="18" t="n"/>
      <c r="G85" s="18" t="n"/>
      <c r="H85" s="18" t="n"/>
      <c r="I85" s="18" t="n"/>
      <c r="J85" s="18" t="n"/>
    </row>
    <row r="86">
      <c r="A86" s="18" t="n"/>
      <c r="B86" s="18" t="n"/>
      <c r="C86" s="18" t="n"/>
      <c r="D86" s="18" t="n"/>
      <c r="E86" s="18" t="n"/>
      <c r="F86" s="18" t="n"/>
      <c r="G86" s="18" t="n"/>
      <c r="H86" s="18" t="n"/>
      <c r="I86" s="18" t="n"/>
      <c r="J86" s="18" t="n"/>
    </row>
  </sheetData>
  <mergeCells count="3">
    <mergeCell ref="A1:J1"/>
    <mergeCell ref="A3:J3"/>
    <mergeCell ref="A2:J2"/>
  </mergeCells>
  <dataValidations count="3">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showDropDown="0" showInputMessage="0" showErrorMessage="0" allowBlank="1" type="list">
      <formula1>=Lookups!$Q$2:$Q$16</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showDropDown="0" showInputMessage="0" showErrorMessage="0" allowBlank="1" type="list">
      <formula1>=Lookups!$H$2:$H$11</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showDropDown="0" showInputMessage="0" showErrorMessage="0" allowBlank="1" type="list">
      <formula1>=Lookups!$I$2:$I$4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6"/>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32" customWidth="1" min="3" max="3"/>
    <col width="18" customWidth="1" min="4" max="4"/>
    <col width="20" customWidth="1" min="5" max="5"/>
    <col width="18" customWidth="1" min="6" max="6"/>
    <col width="18" customWidth="1" min="7" max="7"/>
    <col width="30" customWidth="1" min="8" max="8"/>
  </cols>
  <sheetData>
    <row r="1" ht="16" customHeight="1">
      <c r="A1" s="1" t="inlineStr">
        <is>
          <t>TAB 08</t>
        </is>
      </c>
    </row>
    <row r="2" ht="28" customHeight="1">
      <c r="A2" s="2" t="inlineStr">
        <is>
          <t>Engagement Strategy</t>
        </is>
      </c>
    </row>
    <row r="3" ht="28" customHeight="1">
      <c r="A3" s="3" t="inlineStr">
        <is>
          <t>Tactics that pull students into the material. Tie them to specific modules.</t>
        </is>
      </c>
    </row>
    <row r="4" ht="36" customHeight="1">
      <c r="A4" s="15" t="inlineStr">
        <is>
          <t>Engagement ID</t>
        </is>
      </c>
      <c r="B4" s="15" t="inlineStr">
        <is>
          <t>Module</t>
        </is>
      </c>
      <c r="C4" s="15" t="inlineStr">
        <is>
          <t>Tactic</t>
        </is>
      </c>
      <c r="D4" s="15" t="inlineStr">
        <is>
          <t>Type</t>
        </is>
      </c>
      <c r="E4" s="15" t="inlineStr">
        <is>
          <t>Frequency</t>
        </is>
      </c>
      <c r="F4" s="15" t="inlineStr">
        <is>
          <t>Outcome IDs</t>
        </is>
      </c>
      <c r="G4" s="15" t="inlineStr">
        <is>
          <t>Asset IDs</t>
        </is>
      </c>
      <c r="H4" s="15" t="inlineStr">
        <is>
          <t>Notes</t>
        </is>
      </c>
    </row>
    <row r="5" ht="56" customHeight="1">
      <c r="A5" s="16" t="inlineStr">
        <is>
          <t>E01, E02…</t>
        </is>
      </c>
      <c r="B5" s="16" t="inlineStr">
        <is>
          <t>Module ID</t>
        </is>
      </c>
      <c r="C5" s="16" t="inlineStr">
        <is>
          <t>Name the tactic</t>
        </is>
      </c>
      <c r="D5" s="16" t="inlineStr">
        <is>
          <t>Pick from list</t>
        </is>
      </c>
      <c r="E5" s="16" t="inlineStr">
        <is>
          <t>Per session / weekly / one-time</t>
        </is>
      </c>
      <c r="F5" s="16" t="inlineStr">
        <is>
          <t>Comma-separated</t>
        </is>
      </c>
      <c r="G5" s="16" t="inlineStr">
        <is>
          <t>Comma-separated</t>
        </is>
      </c>
      <c r="H5" s="16" t="inlineStr">
        <is>
          <t>Optional</t>
        </is>
      </c>
    </row>
    <row r="6" ht="24" customHeight="1">
      <c r="A6" s="17" t="inlineStr">
        <is>
          <t>E01</t>
        </is>
      </c>
      <c r="B6" s="17" t="inlineStr">
        <is>
          <t>M01</t>
        </is>
      </c>
      <c r="C6" s="17" t="inlineStr">
        <is>
          <t>Think-pair-share on case</t>
        </is>
      </c>
      <c r="D6" s="17" t="inlineStr">
        <is>
          <t>Active learning</t>
        </is>
      </c>
      <c r="E6" s="17" t="inlineStr">
        <is>
          <t>Per session</t>
        </is>
      </c>
      <c r="F6" s="17" t="inlineStr">
        <is>
          <t>LO01</t>
        </is>
      </c>
      <c r="G6" s="17" t="inlineStr">
        <is>
          <t>A001</t>
        </is>
      </c>
      <c r="H6" s="17" t="inlineStr"/>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sheetData>
  <mergeCells count="3">
    <mergeCell ref="A3:H3"/>
    <mergeCell ref="A2:H2"/>
    <mergeCell ref="A1:H1"/>
  </mergeCells>
  <dataValidations count="1">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showDropDown="0" showInputMessage="0" showErrorMessage="0" allowBlank="1" type="list">
      <formula1>=Lookups!$R$2:$R$12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28" customWidth="1" min="4" max="4"/>
    <col width="16" customWidth="1" min="5" max="5"/>
    <col width="32" customWidth="1" min="6" max="6"/>
    <col width="30" customWidth="1" min="7" max="7"/>
    <col width="18" customWidth="1" min="8" max="8"/>
    <col width="18" customWidth="1" min="9" max="9"/>
    <col width="40" customWidth="1" min="10" max="10"/>
  </cols>
  <sheetData>
    <row r="1" ht="16" customHeight="1">
      <c r="A1" s="1" t="inlineStr">
        <is>
          <t>TAB 09</t>
        </is>
      </c>
    </row>
    <row r="2" ht="28" customHeight="1">
      <c r="A2" s="2" t="inlineStr">
        <is>
          <t>Lab Components</t>
        </is>
      </c>
    </row>
    <row r="3" ht="28" customHeight="1">
      <c r="A3" s="3" t="inlineStr">
        <is>
          <t>If your course has labs (wet, dry, virtual, clinical sim, drawing), plan them here. Link each lab to outcomes, supporting assets, and safety notes.</t>
        </is>
      </c>
    </row>
    <row r="4" ht="36" customHeight="1">
      <c r="A4" s="15" t="inlineStr">
        <is>
          <t>Lab ID</t>
        </is>
      </c>
      <c r="B4" s="15" t="inlineStr">
        <is>
          <t>Module</t>
        </is>
      </c>
      <c r="C4" s="15" t="inlineStr">
        <is>
          <t>Week</t>
        </is>
      </c>
      <c r="D4" s="15" t="inlineStr">
        <is>
          <t>Lab Title</t>
        </is>
      </c>
      <c r="E4" s="15" t="inlineStr">
        <is>
          <t>Lab Type</t>
        </is>
      </c>
      <c r="F4" s="15" t="inlineStr">
        <is>
          <t>Setup Requirements</t>
        </is>
      </c>
      <c r="G4" s="15" t="inlineStr">
        <is>
          <t>Materials / Equipment</t>
        </is>
      </c>
      <c r="H4" s="15" t="inlineStr">
        <is>
          <t>Linked Outcome IDs</t>
        </is>
      </c>
      <c r="I4" s="15" t="inlineStr">
        <is>
          <t>Linked Asset IDs</t>
        </is>
      </c>
      <c r="J4" s="15" t="inlineStr">
        <is>
          <t>Safety / Access Notes</t>
        </is>
      </c>
    </row>
    <row r="5" ht="56" customHeight="1">
      <c r="A5" s="16" t="inlineStr">
        <is>
          <t>LAB01…</t>
        </is>
      </c>
      <c r="B5" s="16" t="inlineStr">
        <is>
          <t>Module ID</t>
        </is>
      </c>
      <c r="C5" s="16" t="inlineStr">
        <is>
          <t>Week #</t>
        </is>
      </c>
      <c r="D5" s="16" t="inlineStr">
        <is>
          <t>What students do</t>
        </is>
      </c>
      <c r="E5" s="16" t="inlineStr">
        <is>
          <t>Pick from list</t>
        </is>
      </c>
      <c r="F5" s="16" t="inlineStr">
        <is>
          <t>Room setup, group size, time</t>
        </is>
      </c>
      <c r="G5" s="16" t="inlineStr">
        <is>
          <t>List materials</t>
        </is>
      </c>
      <c r="H5" s="16" t="inlineStr">
        <is>
          <t>Comma-separated</t>
        </is>
      </c>
      <c r="I5" s="16" t="inlineStr">
        <is>
          <t>Comma-separated</t>
        </is>
      </c>
      <c r="J5" s="16" t="inlineStr">
        <is>
          <t>Hazards, PPE, accommodations</t>
        </is>
      </c>
    </row>
    <row r="6" ht="24" customHeight="1">
      <c r="A6" s="17" t="inlineStr">
        <is>
          <t>LAB01</t>
        </is>
      </c>
      <c r="B6" s="17" t="inlineStr">
        <is>
          <t>M01</t>
        </is>
      </c>
      <c r="C6" s="17" t="inlineStr">
        <is>
          <t>1</t>
        </is>
      </c>
      <c r="D6" s="17" t="inlineStr">
        <is>
          <t>Microscopy intro</t>
        </is>
      </c>
      <c r="E6" s="17" t="inlineStr">
        <is>
          <t>Wet lab</t>
        </is>
      </c>
      <c r="F6" s="17" t="inlineStr">
        <is>
          <t>Lab benches for 4, 8 microscopes</t>
        </is>
      </c>
      <c r="G6" s="17" t="inlineStr">
        <is>
          <t>Slides, lens paper</t>
        </is>
      </c>
      <c r="H6" s="17" t="inlineStr">
        <is>
          <t>LO01</t>
        </is>
      </c>
      <c r="I6" s="17" t="inlineStr">
        <is>
          <t>A001</t>
        </is>
      </c>
      <c r="J6" s="17" t="inlineStr">
        <is>
          <t>Standard lab safety; magnifier alt for low-vision</t>
        </is>
      </c>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row r="64">
      <c r="A64" s="18" t="n"/>
      <c r="B64" s="18" t="n"/>
      <c r="C64" s="18" t="n"/>
      <c r="D64" s="18" t="n"/>
      <c r="E64" s="18" t="n"/>
      <c r="F64" s="18" t="n"/>
      <c r="G64" s="18" t="n"/>
      <c r="H64" s="18" t="n"/>
      <c r="I64" s="18" t="n"/>
      <c r="J64" s="18" t="n"/>
    </row>
    <row r="65">
      <c r="A65" s="18" t="n"/>
      <c r="B65" s="18" t="n"/>
      <c r="C65" s="18" t="n"/>
      <c r="D65" s="18" t="n"/>
      <c r="E65" s="18" t="n"/>
      <c r="F65" s="18" t="n"/>
      <c r="G65" s="18" t="n"/>
      <c r="H65" s="18" t="n"/>
      <c r="I65" s="18" t="n"/>
      <c r="J65" s="18" t="n"/>
    </row>
    <row r="66">
      <c r="A66" s="18" t="n"/>
      <c r="B66" s="18" t="n"/>
      <c r="C66" s="18" t="n"/>
      <c r="D66" s="18" t="n"/>
      <c r="E66" s="18" t="n"/>
      <c r="F66" s="18" t="n"/>
      <c r="G66" s="18" t="n"/>
      <c r="H66" s="18" t="n"/>
      <c r="I66" s="18" t="n"/>
      <c r="J66" s="18" t="n"/>
    </row>
    <row r="67">
      <c r="A67" s="18" t="n"/>
      <c r="B67" s="18" t="n"/>
      <c r="C67" s="18" t="n"/>
      <c r="D67" s="18" t="n"/>
      <c r="E67" s="18" t="n"/>
      <c r="F67" s="18" t="n"/>
      <c r="G67" s="18" t="n"/>
      <c r="H67" s="18" t="n"/>
      <c r="I67" s="18" t="n"/>
      <c r="J67" s="18" t="n"/>
    </row>
    <row r="68">
      <c r="A68" s="18" t="n"/>
      <c r="B68" s="18" t="n"/>
      <c r="C68" s="18" t="n"/>
      <c r="D68" s="18" t="n"/>
      <c r="E68" s="18" t="n"/>
      <c r="F68" s="18" t="n"/>
      <c r="G68" s="18" t="n"/>
      <c r="H68" s="18" t="n"/>
      <c r="I68" s="18" t="n"/>
      <c r="J68" s="18" t="n"/>
    </row>
    <row r="69">
      <c r="A69" s="18" t="n"/>
      <c r="B69" s="18" t="n"/>
      <c r="C69" s="18" t="n"/>
      <c r="D69" s="18" t="n"/>
      <c r="E69" s="18" t="n"/>
      <c r="F69" s="18" t="n"/>
      <c r="G69" s="18" t="n"/>
      <c r="H69" s="18" t="n"/>
      <c r="I69" s="18" t="n"/>
      <c r="J69" s="18" t="n"/>
    </row>
    <row r="70">
      <c r="A70" s="18" t="n"/>
      <c r="B70" s="18" t="n"/>
      <c r="C70" s="18" t="n"/>
      <c r="D70" s="18" t="n"/>
      <c r="E70" s="18" t="n"/>
      <c r="F70" s="18" t="n"/>
      <c r="G70" s="18" t="n"/>
      <c r="H70" s="18" t="n"/>
      <c r="I70" s="18" t="n"/>
      <c r="J70" s="18" t="n"/>
    </row>
    <row r="71">
      <c r="A71" s="18" t="n"/>
      <c r="B71" s="18" t="n"/>
      <c r="C71" s="18" t="n"/>
      <c r="D71" s="18" t="n"/>
      <c r="E71" s="18" t="n"/>
      <c r="F71" s="18" t="n"/>
      <c r="G71" s="18" t="n"/>
      <c r="H71" s="18" t="n"/>
      <c r="I71" s="18" t="n"/>
      <c r="J71" s="18" t="n"/>
    </row>
    <row r="72">
      <c r="A72" s="18" t="n"/>
      <c r="B72" s="18" t="n"/>
      <c r="C72" s="18" t="n"/>
      <c r="D72" s="18" t="n"/>
      <c r="E72" s="18" t="n"/>
      <c r="F72" s="18" t="n"/>
      <c r="G72" s="18" t="n"/>
      <c r="H72" s="18" t="n"/>
      <c r="I72" s="18" t="n"/>
      <c r="J72" s="18" t="n"/>
    </row>
    <row r="73">
      <c r="A73" s="18" t="n"/>
      <c r="B73" s="18" t="n"/>
      <c r="C73" s="18" t="n"/>
      <c r="D73" s="18" t="n"/>
      <c r="E73" s="18" t="n"/>
      <c r="F73" s="18" t="n"/>
      <c r="G73" s="18" t="n"/>
      <c r="H73" s="18" t="n"/>
      <c r="I73" s="18" t="n"/>
      <c r="J73" s="18" t="n"/>
    </row>
    <row r="74">
      <c r="A74" s="18" t="n"/>
      <c r="B74" s="18" t="n"/>
      <c r="C74" s="18" t="n"/>
      <c r="D74" s="18" t="n"/>
      <c r="E74" s="18" t="n"/>
      <c r="F74" s="18" t="n"/>
      <c r="G74" s="18" t="n"/>
      <c r="H74" s="18" t="n"/>
      <c r="I74" s="18" t="n"/>
      <c r="J74" s="18" t="n"/>
    </row>
    <row r="75">
      <c r="A75" s="18" t="n"/>
      <c r="B75" s="18" t="n"/>
      <c r="C75" s="18" t="n"/>
      <c r="D75" s="18" t="n"/>
      <c r="E75" s="18" t="n"/>
      <c r="F75" s="18" t="n"/>
      <c r="G75" s="18" t="n"/>
      <c r="H75" s="18" t="n"/>
      <c r="I75" s="18" t="n"/>
      <c r="J75" s="18" t="n"/>
    </row>
    <row r="76">
      <c r="A76" s="18" t="n"/>
      <c r="B76" s="18" t="n"/>
      <c r="C76" s="18" t="n"/>
      <c r="D76" s="18" t="n"/>
      <c r="E76" s="18" t="n"/>
      <c r="F76" s="18" t="n"/>
      <c r="G76" s="18" t="n"/>
      <c r="H76" s="18" t="n"/>
      <c r="I76" s="18" t="n"/>
      <c r="J76" s="18" t="n"/>
    </row>
    <row r="77">
      <c r="A77" s="18" t="n"/>
      <c r="B77" s="18" t="n"/>
      <c r="C77" s="18" t="n"/>
      <c r="D77" s="18" t="n"/>
      <c r="E77" s="18" t="n"/>
      <c r="F77" s="18" t="n"/>
      <c r="G77" s="18" t="n"/>
      <c r="H77" s="18" t="n"/>
      <c r="I77" s="18" t="n"/>
      <c r="J77" s="18" t="n"/>
    </row>
    <row r="78">
      <c r="A78" s="18" t="n"/>
      <c r="B78" s="18" t="n"/>
      <c r="C78" s="18" t="n"/>
      <c r="D78" s="18" t="n"/>
      <c r="E78" s="18" t="n"/>
      <c r="F78" s="18" t="n"/>
      <c r="G78" s="18" t="n"/>
      <c r="H78" s="18" t="n"/>
      <c r="I78" s="18" t="n"/>
      <c r="J78" s="18" t="n"/>
    </row>
    <row r="79">
      <c r="A79" s="18" t="n"/>
      <c r="B79" s="18" t="n"/>
      <c r="C79" s="18" t="n"/>
      <c r="D79" s="18" t="n"/>
      <c r="E79" s="18" t="n"/>
      <c r="F79" s="18" t="n"/>
      <c r="G79" s="18" t="n"/>
      <c r="H79" s="18" t="n"/>
      <c r="I79" s="18" t="n"/>
      <c r="J79" s="18" t="n"/>
    </row>
    <row r="80">
      <c r="A80" s="18" t="n"/>
      <c r="B80" s="18" t="n"/>
      <c r="C80" s="18" t="n"/>
      <c r="D80" s="18" t="n"/>
      <c r="E80" s="18" t="n"/>
      <c r="F80" s="18" t="n"/>
      <c r="G80" s="18" t="n"/>
      <c r="H80" s="18" t="n"/>
      <c r="I80" s="18" t="n"/>
      <c r="J80" s="18" t="n"/>
    </row>
    <row r="81">
      <c r="A81" s="18" t="n"/>
      <c r="B81" s="18" t="n"/>
      <c r="C81" s="18" t="n"/>
      <c r="D81" s="18" t="n"/>
      <c r="E81" s="18" t="n"/>
      <c r="F81" s="18" t="n"/>
      <c r="G81" s="18" t="n"/>
      <c r="H81" s="18" t="n"/>
      <c r="I81" s="18" t="n"/>
      <c r="J81" s="18" t="n"/>
    </row>
    <row r="82">
      <c r="A82" s="18" t="n"/>
      <c r="B82" s="18" t="n"/>
      <c r="C82" s="18" t="n"/>
      <c r="D82" s="18" t="n"/>
      <c r="E82" s="18" t="n"/>
      <c r="F82" s="18" t="n"/>
      <c r="G82" s="18" t="n"/>
      <c r="H82" s="18" t="n"/>
      <c r="I82" s="18" t="n"/>
      <c r="J82" s="18" t="n"/>
    </row>
    <row r="83">
      <c r="A83" s="18" t="n"/>
      <c r="B83" s="18" t="n"/>
      <c r="C83" s="18" t="n"/>
      <c r="D83" s="18" t="n"/>
      <c r="E83" s="18" t="n"/>
      <c r="F83" s="18" t="n"/>
      <c r="G83" s="18" t="n"/>
      <c r="H83" s="18" t="n"/>
      <c r="I83" s="18" t="n"/>
      <c r="J83" s="18" t="n"/>
    </row>
    <row r="84">
      <c r="A84" s="18" t="n"/>
      <c r="B84" s="18" t="n"/>
      <c r="C84" s="18" t="n"/>
      <c r="D84" s="18" t="n"/>
      <c r="E84" s="18" t="n"/>
      <c r="F84" s="18" t="n"/>
      <c r="G84" s="18" t="n"/>
      <c r="H84" s="18" t="n"/>
      <c r="I84" s="18" t="n"/>
      <c r="J84" s="18" t="n"/>
    </row>
    <row r="85">
      <c r="A85" s="18" t="n"/>
      <c r="B85" s="18" t="n"/>
      <c r="C85" s="18" t="n"/>
      <c r="D85" s="18" t="n"/>
      <c r="E85" s="18" t="n"/>
      <c r="F85" s="18" t="n"/>
      <c r="G85" s="18" t="n"/>
      <c r="H85" s="18" t="n"/>
      <c r="I85" s="18" t="n"/>
      <c r="J85" s="18" t="n"/>
    </row>
    <row r="86">
      <c r="A86" s="18" t="n"/>
      <c r="B86" s="18" t="n"/>
      <c r="C86" s="18" t="n"/>
      <c r="D86" s="18" t="n"/>
      <c r="E86" s="18" t="n"/>
      <c r="F86" s="18" t="n"/>
      <c r="G86" s="18" t="n"/>
      <c r="H86" s="18" t="n"/>
      <c r="I86" s="18" t="n"/>
      <c r="J86" s="18" t="n"/>
    </row>
  </sheetData>
  <mergeCells count="3">
    <mergeCell ref="A1:J1"/>
    <mergeCell ref="A3:J3"/>
    <mergeCell ref="A2:J2"/>
  </mergeCells>
  <dataValidations count="1">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showDropDown="0" showInputMessage="0" showErrorMessage="0" allowBlank="1" type="list">
      <formula1>=Lookups!$T$2:$T$9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28" customWidth="1" min="3" max="3"/>
    <col width="24" customWidth="1" min="4" max="4"/>
    <col width="14" customWidth="1" min="5" max="5"/>
    <col width="12" customWidth="1" min="6" max="6"/>
    <col width="32" customWidth="1" min="7" max="7"/>
    <col width="32" customWidth="1" min="8" max="8"/>
    <col width="14" customWidth="1" min="9" max="9"/>
    <col width="14" customWidth="1" min="10" max="10"/>
  </cols>
  <sheetData>
    <row r="1" ht="16" customHeight="1">
      <c r="A1" s="1" t="inlineStr">
        <is>
          <t>TAB 10 · COMPLIANCE PHASE</t>
        </is>
      </c>
    </row>
    <row r="2" ht="28" customHeight="1">
      <c r="A2" s="2" t="inlineStr">
        <is>
          <t>Accessibility — WCAG 2.2 Audit</t>
        </is>
      </c>
    </row>
    <row r="3" ht="28" customHeight="1">
      <c r="A3" s="3" t="inlineStr">
        <is>
          <t>One row per criterion checked, per asset. AA is the floor; aim AAA where achievable.</t>
        </is>
      </c>
    </row>
    <row r="4" ht="36" customHeight="1">
      <c r="A4" s="15" t="inlineStr">
        <is>
          <t>Audit ID</t>
        </is>
      </c>
      <c r="B4" s="15" t="inlineStr">
        <is>
          <t>Asset ID</t>
        </is>
      </c>
      <c r="C4" s="15" t="inlineStr">
        <is>
          <t>File / Page</t>
        </is>
      </c>
      <c r="D4" s="15" t="inlineStr">
        <is>
          <t>WCAG Criterion</t>
        </is>
      </c>
      <c r="E4" s="15" t="inlineStr">
        <is>
          <t>Target Level</t>
        </is>
      </c>
      <c r="F4" s="15" t="inlineStr">
        <is>
          <t>Status</t>
        </is>
      </c>
      <c r="G4" s="15" t="inlineStr">
        <is>
          <t>Issue Found</t>
        </is>
      </c>
      <c r="H4" s="15" t="inlineStr">
        <is>
          <t>Remediation</t>
        </is>
      </c>
      <c r="I4" s="15" t="inlineStr">
        <is>
          <t>Owner</t>
        </is>
      </c>
      <c r="J4" s="15" t="inlineStr">
        <is>
          <t>Verified Date</t>
        </is>
      </c>
    </row>
    <row r="5" ht="56" customHeight="1">
      <c r="A5" s="16" t="inlineStr">
        <is>
          <t>AU001…</t>
        </is>
      </c>
      <c r="B5" s="16" t="inlineStr">
        <is>
          <t>Asset ID from tab 04</t>
        </is>
      </c>
      <c r="C5" s="16" t="inlineStr">
        <is>
          <t>File name or URL</t>
        </is>
      </c>
      <c r="D5" s="16" t="inlineStr">
        <is>
          <t>e.g., 1.4.3 Contrast</t>
        </is>
      </c>
      <c r="E5" s="16" t="inlineStr">
        <is>
          <t>Pick from list</t>
        </is>
      </c>
      <c r="F5" s="16" t="inlineStr">
        <is>
          <t>Pick from list</t>
        </is>
      </c>
      <c r="G5" s="16" t="inlineStr">
        <is>
          <t>Short description</t>
        </is>
      </c>
      <c r="H5" s="16" t="inlineStr">
        <is>
          <t>What needs to change</t>
        </is>
      </c>
      <c r="I5" s="16" t="inlineStr">
        <is>
          <t>Who owns the fix</t>
        </is>
      </c>
      <c r="J5" s="16" t="inlineStr">
        <is>
          <t>YYYY-MM-DD</t>
        </is>
      </c>
    </row>
    <row r="6" ht="24" customHeight="1">
      <c r="A6" s="17" t="inlineStr">
        <is>
          <t>AU001</t>
        </is>
      </c>
      <c r="B6" s="17" t="inlineStr">
        <is>
          <t>A001</t>
        </is>
      </c>
      <c r="C6" s="17" t="inlineStr">
        <is>
          <t>intro-cell.html</t>
        </is>
      </c>
      <c r="D6" s="17" t="inlineStr">
        <is>
          <t>1.4.3 Contrast</t>
        </is>
      </c>
      <c r="E6" s="17" t="inlineStr">
        <is>
          <t>AA</t>
        </is>
      </c>
      <c r="F6" s="17" t="inlineStr">
        <is>
          <t>Pass</t>
        </is>
      </c>
      <c r="G6" s="17" t="inlineStr"/>
      <c r="H6" s="17" t="inlineStr"/>
      <c r="I6" s="17" t="inlineStr"/>
      <c r="J6" s="17" t="inlineStr">
        <is>
          <t>2026-08-20</t>
        </is>
      </c>
    </row>
    <row r="7">
      <c r="A7" s="18" t="n"/>
      <c r="B7" s="18" t="n"/>
      <c r="C7" s="18" t="n"/>
      <c r="D7" s="18" t="n"/>
      <c r="E7" s="18" t="n"/>
      <c r="F7" s="18" t="n"/>
      <c r="G7" s="18" t="n"/>
      <c r="H7" s="18" t="n"/>
      <c r="I7" s="18" t="n"/>
      <c r="J7" s="18" t="n"/>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row r="64">
      <c r="A64" s="18" t="n"/>
      <c r="B64" s="18" t="n"/>
      <c r="C64" s="18" t="n"/>
      <c r="D64" s="18" t="n"/>
      <c r="E64" s="18" t="n"/>
      <c r="F64" s="18" t="n"/>
      <c r="G64" s="18" t="n"/>
      <c r="H64" s="18" t="n"/>
      <c r="I64" s="18" t="n"/>
      <c r="J64" s="18" t="n"/>
    </row>
    <row r="65">
      <c r="A65" s="18" t="n"/>
      <c r="B65" s="18" t="n"/>
      <c r="C65" s="18" t="n"/>
      <c r="D65" s="18" t="n"/>
      <c r="E65" s="18" t="n"/>
      <c r="F65" s="18" t="n"/>
      <c r="G65" s="18" t="n"/>
      <c r="H65" s="18" t="n"/>
      <c r="I65" s="18" t="n"/>
      <c r="J65" s="18" t="n"/>
    </row>
    <row r="66">
      <c r="A66" s="18" t="n"/>
      <c r="B66" s="18" t="n"/>
      <c r="C66" s="18" t="n"/>
      <c r="D66" s="18" t="n"/>
      <c r="E66" s="18" t="n"/>
      <c r="F66" s="18" t="n"/>
      <c r="G66" s="18" t="n"/>
      <c r="H66" s="18" t="n"/>
      <c r="I66" s="18" t="n"/>
      <c r="J66" s="18" t="n"/>
    </row>
    <row r="67">
      <c r="A67" s="18" t="n"/>
      <c r="B67" s="18" t="n"/>
      <c r="C67" s="18" t="n"/>
      <c r="D67" s="18" t="n"/>
      <c r="E67" s="18" t="n"/>
      <c r="F67" s="18" t="n"/>
      <c r="G67" s="18" t="n"/>
      <c r="H67" s="18" t="n"/>
      <c r="I67" s="18" t="n"/>
      <c r="J67" s="18" t="n"/>
    </row>
    <row r="68">
      <c r="A68" s="18" t="n"/>
      <c r="B68" s="18" t="n"/>
      <c r="C68" s="18" t="n"/>
      <c r="D68" s="18" t="n"/>
      <c r="E68" s="18" t="n"/>
      <c r="F68" s="18" t="n"/>
      <c r="G68" s="18" t="n"/>
      <c r="H68" s="18" t="n"/>
      <c r="I68" s="18" t="n"/>
      <c r="J68" s="18" t="n"/>
    </row>
    <row r="69">
      <c r="A69" s="18" t="n"/>
      <c r="B69" s="18" t="n"/>
      <c r="C69" s="18" t="n"/>
      <c r="D69" s="18" t="n"/>
      <c r="E69" s="18" t="n"/>
      <c r="F69" s="18" t="n"/>
      <c r="G69" s="18" t="n"/>
      <c r="H69" s="18" t="n"/>
      <c r="I69" s="18" t="n"/>
      <c r="J69" s="18" t="n"/>
    </row>
    <row r="70">
      <c r="A70" s="18" t="n"/>
      <c r="B70" s="18" t="n"/>
      <c r="C70" s="18" t="n"/>
      <c r="D70" s="18" t="n"/>
      <c r="E70" s="18" t="n"/>
      <c r="F70" s="18" t="n"/>
      <c r="G70" s="18" t="n"/>
      <c r="H70" s="18" t="n"/>
      <c r="I70" s="18" t="n"/>
      <c r="J70" s="18" t="n"/>
    </row>
    <row r="71">
      <c r="A71" s="18" t="n"/>
      <c r="B71" s="18" t="n"/>
      <c r="C71" s="18" t="n"/>
      <c r="D71" s="18" t="n"/>
      <c r="E71" s="18" t="n"/>
      <c r="F71" s="18" t="n"/>
      <c r="G71" s="18" t="n"/>
      <c r="H71" s="18" t="n"/>
      <c r="I71" s="18" t="n"/>
      <c r="J71" s="18" t="n"/>
    </row>
    <row r="72">
      <c r="A72" s="18" t="n"/>
      <c r="B72" s="18" t="n"/>
      <c r="C72" s="18" t="n"/>
      <c r="D72" s="18" t="n"/>
      <c r="E72" s="18" t="n"/>
      <c r="F72" s="18" t="n"/>
      <c r="G72" s="18" t="n"/>
      <c r="H72" s="18" t="n"/>
      <c r="I72" s="18" t="n"/>
      <c r="J72" s="18" t="n"/>
    </row>
    <row r="73">
      <c r="A73" s="18" t="n"/>
      <c r="B73" s="18" t="n"/>
      <c r="C73" s="18" t="n"/>
      <c r="D73" s="18" t="n"/>
      <c r="E73" s="18" t="n"/>
      <c r="F73" s="18" t="n"/>
      <c r="G73" s="18" t="n"/>
      <c r="H73" s="18" t="n"/>
      <c r="I73" s="18" t="n"/>
      <c r="J73" s="18" t="n"/>
    </row>
    <row r="74">
      <c r="A74" s="18" t="n"/>
      <c r="B74" s="18" t="n"/>
      <c r="C74" s="18" t="n"/>
      <c r="D74" s="18" t="n"/>
      <c r="E74" s="18" t="n"/>
      <c r="F74" s="18" t="n"/>
      <c r="G74" s="18" t="n"/>
      <c r="H74" s="18" t="n"/>
      <c r="I74" s="18" t="n"/>
      <c r="J74" s="18" t="n"/>
    </row>
    <row r="75">
      <c r="A75" s="18" t="n"/>
      <c r="B75" s="18" t="n"/>
      <c r="C75" s="18" t="n"/>
      <c r="D75" s="18" t="n"/>
      <c r="E75" s="18" t="n"/>
      <c r="F75" s="18" t="n"/>
      <c r="G75" s="18" t="n"/>
      <c r="H75" s="18" t="n"/>
      <c r="I75" s="18" t="n"/>
      <c r="J75" s="18" t="n"/>
    </row>
    <row r="76">
      <c r="A76" s="18" t="n"/>
      <c r="B76" s="18" t="n"/>
      <c r="C76" s="18" t="n"/>
      <c r="D76" s="18" t="n"/>
      <c r="E76" s="18" t="n"/>
      <c r="F76" s="18" t="n"/>
      <c r="G76" s="18" t="n"/>
      <c r="H76" s="18" t="n"/>
      <c r="I76" s="18" t="n"/>
      <c r="J76" s="18" t="n"/>
    </row>
    <row r="77">
      <c r="A77" s="18" t="n"/>
      <c r="B77" s="18" t="n"/>
      <c r="C77" s="18" t="n"/>
      <c r="D77" s="18" t="n"/>
      <c r="E77" s="18" t="n"/>
      <c r="F77" s="18" t="n"/>
      <c r="G77" s="18" t="n"/>
      <c r="H77" s="18" t="n"/>
      <c r="I77" s="18" t="n"/>
      <c r="J77" s="18" t="n"/>
    </row>
    <row r="78">
      <c r="A78" s="18" t="n"/>
      <c r="B78" s="18" t="n"/>
      <c r="C78" s="18" t="n"/>
      <c r="D78" s="18" t="n"/>
      <c r="E78" s="18" t="n"/>
      <c r="F78" s="18" t="n"/>
      <c r="G78" s="18" t="n"/>
      <c r="H78" s="18" t="n"/>
      <c r="I78" s="18" t="n"/>
      <c r="J78" s="18" t="n"/>
    </row>
    <row r="79">
      <c r="A79" s="18" t="n"/>
      <c r="B79" s="18" t="n"/>
      <c r="C79" s="18" t="n"/>
      <c r="D79" s="18" t="n"/>
      <c r="E79" s="18" t="n"/>
      <c r="F79" s="18" t="n"/>
      <c r="G79" s="18" t="n"/>
      <c r="H79" s="18" t="n"/>
      <c r="I79" s="18" t="n"/>
      <c r="J79" s="18" t="n"/>
    </row>
    <row r="80">
      <c r="A80" s="18" t="n"/>
      <c r="B80" s="18" t="n"/>
      <c r="C80" s="18" t="n"/>
      <c r="D80" s="18" t="n"/>
      <c r="E80" s="18" t="n"/>
      <c r="F80" s="18" t="n"/>
      <c r="G80" s="18" t="n"/>
      <c r="H80" s="18" t="n"/>
      <c r="I80" s="18" t="n"/>
      <c r="J80" s="18" t="n"/>
    </row>
    <row r="81">
      <c r="A81" s="18" t="n"/>
      <c r="B81" s="18" t="n"/>
      <c r="C81" s="18" t="n"/>
      <c r="D81" s="18" t="n"/>
      <c r="E81" s="18" t="n"/>
      <c r="F81" s="18" t="n"/>
      <c r="G81" s="18" t="n"/>
      <c r="H81" s="18" t="n"/>
      <c r="I81" s="18" t="n"/>
      <c r="J81" s="18" t="n"/>
    </row>
    <row r="82">
      <c r="A82" s="18" t="n"/>
      <c r="B82" s="18" t="n"/>
      <c r="C82" s="18" t="n"/>
      <c r="D82" s="18" t="n"/>
      <c r="E82" s="18" t="n"/>
      <c r="F82" s="18" t="n"/>
      <c r="G82" s="18" t="n"/>
      <c r="H82" s="18" t="n"/>
      <c r="I82" s="18" t="n"/>
      <c r="J82" s="18" t="n"/>
    </row>
    <row r="83">
      <c r="A83" s="18" t="n"/>
      <c r="B83" s="18" t="n"/>
      <c r="C83" s="18" t="n"/>
      <c r="D83" s="18" t="n"/>
      <c r="E83" s="18" t="n"/>
      <c r="F83" s="18" t="n"/>
      <c r="G83" s="18" t="n"/>
      <c r="H83" s="18" t="n"/>
      <c r="I83" s="18" t="n"/>
      <c r="J83" s="18" t="n"/>
    </row>
    <row r="84">
      <c r="A84" s="18" t="n"/>
      <c r="B84" s="18" t="n"/>
      <c r="C84" s="18" t="n"/>
      <c r="D84" s="18" t="n"/>
      <c r="E84" s="18" t="n"/>
      <c r="F84" s="18" t="n"/>
      <c r="G84" s="18" t="n"/>
      <c r="H84" s="18" t="n"/>
      <c r="I84" s="18" t="n"/>
      <c r="J84" s="18" t="n"/>
    </row>
    <row r="85">
      <c r="A85" s="18" t="n"/>
      <c r="B85" s="18" t="n"/>
      <c r="C85" s="18" t="n"/>
      <c r="D85" s="18" t="n"/>
      <c r="E85" s="18" t="n"/>
      <c r="F85" s="18" t="n"/>
      <c r="G85" s="18" t="n"/>
      <c r="H85" s="18" t="n"/>
      <c r="I85" s="18" t="n"/>
      <c r="J85" s="18" t="n"/>
    </row>
    <row r="86">
      <c r="A86" s="18" t="n"/>
      <c r="B86" s="18" t="n"/>
      <c r="C86" s="18" t="n"/>
      <c r="D86" s="18" t="n"/>
      <c r="E86" s="18" t="n"/>
      <c r="F86" s="18" t="n"/>
      <c r="G86" s="18" t="n"/>
      <c r="H86" s="18" t="n"/>
      <c r="I86" s="18" t="n"/>
      <c r="J86" s="18" t="n"/>
    </row>
  </sheetData>
  <mergeCells count="3">
    <mergeCell ref="A1:J1"/>
    <mergeCell ref="A3:J3"/>
    <mergeCell ref="A2:J2"/>
  </mergeCells>
  <dataValidations count="2">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showDropDown="0" showInputMessage="0" showErrorMessage="0" allowBlank="1" type="list">
      <formula1>=Lookups!$P$2:$P$3</formula1>
    </dataValidation>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showDropDown="0" showInputMessage="0" showErrorMessage="0" allowBlank="1" type="list">
      <formula1>=Lookups!$G$2:$G$5</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22" customWidth="1" min="4" max="4"/>
    <col width="32" customWidth="1" min="5" max="5"/>
    <col width="18" customWidth="1" min="6" max="6"/>
    <col width="28" customWidth="1" min="7" max="7"/>
    <col width="28" customWidth="1" min="8" max="8"/>
  </cols>
  <sheetData>
    <row r="1" ht="16" customHeight="1">
      <c r="A1" s="1" t="inlineStr">
        <is>
          <t>TAB 11 · COMPLIANCE PHASE</t>
        </is>
      </c>
    </row>
    <row r="2" ht="28" customHeight="1">
      <c r="A2" s="2" t="inlineStr">
        <is>
          <t>Regular &amp; Substantive Interaction (RSI)</t>
        </is>
      </c>
    </row>
    <row r="3" ht="28" customHeight="1">
      <c r="A3" s="3" t="inlineStr">
        <is>
          <t>Evidence that the instructor is regularly and substantively present. One row per RSI activity.</t>
        </is>
      </c>
    </row>
    <row r="4" ht="36" customHeight="1">
      <c r="A4" s="15" t="inlineStr">
        <is>
          <t>RSI ID</t>
        </is>
      </c>
      <c r="B4" s="15" t="inlineStr">
        <is>
          <t>Module</t>
        </is>
      </c>
      <c r="C4" s="15" t="inlineStr">
        <is>
          <t>Week</t>
        </is>
      </c>
      <c r="D4" s="15" t="inlineStr">
        <is>
          <t>Category</t>
        </is>
      </c>
      <c r="E4" s="15" t="inlineStr">
        <is>
          <t>Activity</t>
        </is>
      </c>
      <c r="F4" s="15" t="inlineStr">
        <is>
          <t>Cadence</t>
        </is>
      </c>
      <c r="G4" s="15" t="inlineStr">
        <is>
          <t>Evidence Artifact</t>
        </is>
      </c>
      <c r="H4" s="15" t="inlineStr">
        <is>
          <t>Notes</t>
        </is>
      </c>
    </row>
    <row r="5" ht="56" customHeight="1">
      <c r="A5" s="16" t="inlineStr">
        <is>
          <t>R001…</t>
        </is>
      </c>
      <c r="B5" s="16" t="inlineStr">
        <is>
          <t>Module ID</t>
        </is>
      </c>
      <c r="C5" s="16" t="inlineStr">
        <is>
          <t>Week #</t>
        </is>
      </c>
      <c r="D5" s="16" t="inlineStr">
        <is>
          <t>Pick from list</t>
        </is>
      </c>
      <c r="E5" s="16" t="inlineStr">
        <is>
          <t>What you do</t>
        </is>
      </c>
      <c r="F5" s="16" t="inlineStr">
        <is>
          <t>Daily / weekly / per session</t>
        </is>
      </c>
      <c r="G5" s="16" t="inlineStr">
        <is>
          <t>Link, file, or LMS location</t>
        </is>
      </c>
      <c r="H5" s="16" t="inlineStr">
        <is>
          <t>Optional</t>
        </is>
      </c>
    </row>
    <row r="6" ht="24" customHeight="1">
      <c r="A6" s="17" t="inlineStr">
        <is>
          <t>R001</t>
        </is>
      </c>
      <c r="B6" s="17" t="inlineStr">
        <is>
          <t>M01</t>
        </is>
      </c>
      <c r="C6" s="17" t="inlineStr">
        <is>
          <t>1</t>
        </is>
      </c>
      <c r="D6" s="17" t="inlineStr">
        <is>
          <t>Instructor Presence</t>
        </is>
      </c>
      <c r="E6" s="17" t="inlineStr">
        <is>
          <t>Weekly check-in announcement</t>
        </is>
      </c>
      <c r="F6" s="17" t="inlineStr">
        <is>
          <t>Weekly</t>
        </is>
      </c>
      <c r="G6" s="17" t="inlineStr">
        <is>
          <t>Canvas Announcements</t>
        </is>
      </c>
      <c r="H6" s="17" t="inlineStr"/>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sheetData>
  <mergeCells count="3">
    <mergeCell ref="A3:H3"/>
    <mergeCell ref="A2:H2"/>
    <mergeCell ref="A1:H1"/>
  </mergeCells>
  <dataValidations count="1">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showDropDown="0" showInputMessage="0" showErrorMessage="0" allowBlank="1" type="list">
      <formula1>=Lookups!$O$2:$O$7</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6"/>
  <sheetViews>
    <sheetView showGridLines="0" workbookViewId="0">
      <pane ySplit="4" topLeftCell="A5" activePane="bottomLeft" state="frozen"/>
      <selection pane="bottomLeft" activeCell="A1" sqref="A1"/>
    </sheetView>
  </sheetViews>
  <sheetFormatPr baseColWidth="8" defaultRowHeight="15"/>
  <cols>
    <col width="10" customWidth="1" min="1" max="1"/>
    <col width="22" customWidth="1" min="2" max="2"/>
    <col width="30" customWidth="1" min="3" max="3"/>
    <col width="40" customWidth="1" min="4" max="4"/>
    <col width="16" customWidth="1" min="5" max="5"/>
    <col width="12" customWidth="1" min="6" max="6"/>
    <col width="18" customWidth="1" min="7" max="7"/>
    <col width="28" customWidth="1" min="8" max="8"/>
  </cols>
  <sheetData>
    <row r="1" ht="16" customHeight="1">
      <c r="A1" s="1" t="inlineStr">
        <is>
          <t>TAB 12 · COMPLIANCE PHASE</t>
        </is>
      </c>
    </row>
    <row r="2" ht="28" customHeight="1">
      <c r="A2" s="2" t="inlineStr">
        <is>
          <t>Quality Assurance</t>
        </is>
      </c>
    </row>
    <row r="3" ht="28" customHeight="1">
      <c r="A3" s="3" t="inlineStr">
        <is>
          <t>Pre-launch checklist. Each row is a check you've run against the course.</t>
        </is>
      </c>
    </row>
    <row r="4" ht="36" customHeight="1">
      <c r="A4" s="15" t="inlineStr">
        <is>
          <t>QA ID</t>
        </is>
      </c>
      <c r="B4" s="15" t="inlineStr">
        <is>
          <t>Area</t>
        </is>
      </c>
      <c r="C4" s="15" t="inlineStr">
        <is>
          <t>Check</t>
        </is>
      </c>
      <c r="D4" s="15" t="inlineStr">
        <is>
          <t>Standard</t>
        </is>
      </c>
      <c r="E4" s="15" t="inlineStr">
        <is>
          <t>Asset/Module</t>
        </is>
      </c>
      <c r="F4" s="15" t="inlineStr">
        <is>
          <t>Status</t>
        </is>
      </c>
      <c r="G4" s="15" t="inlineStr">
        <is>
          <t>Reviewer</t>
        </is>
      </c>
      <c r="H4" s="15" t="inlineStr">
        <is>
          <t>Notes</t>
        </is>
      </c>
    </row>
    <row r="5" ht="56" customHeight="1">
      <c r="A5" s="16" t="inlineStr">
        <is>
          <t>QA001…</t>
        </is>
      </c>
      <c r="B5" s="16" t="inlineStr">
        <is>
          <t>e.g., Alignment, Navigation, Consistency</t>
        </is>
      </c>
      <c r="C5" s="16" t="inlineStr">
        <is>
          <t>What you checked</t>
        </is>
      </c>
      <c r="D5" s="16" t="inlineStr">
        <is>
          <t>What 'pass' looks like</t>
        </is>
      </c>
      <c r="E5" s="16" t="inlineStr">
        <is>
          <t>Optional. ID if applicable.</t>
        </is>
      </c>
      <c r="F5" s="16" t="inlineStr">
        <is>
          <t>Pick from list</t>
        </is>
      </c>
      <c r="G5" s="16" t="inlineStr">
        <is>
          <t>Reviewer name</t>
        </is>
      </c>
      <c r="H5" s="16" t="inlineStr">
        <is>
          <t>Optional</t>
        </is>
      </c>
    </row>
    <row r="6" ht="24" customHeight="1">
      <c r="A6" s="17" t="inlineStr">
        <is>
          <t>QA001</t>
        </is>
      </c>
      <c r="B6" s="17" t="inlineStr">
        <is>
          <t>Alignment</t>
        </is>
      </c>
      <c r="C6" s="17" t="inlineStr">
        <is>
          <t>Outcome alignment</t>
        </is>
      </c>
      <c r="D6" s="17" t="inlineStr">
        <is>
          <t>Every asset maps to ≥1 outcome</t>
        </is>
      </c>
      <c r="E6" s="17" t="inlineStr"/>
      <c r="F6" s="17" t="inlineStr">
        <is>
          <t>Pass</t>
        </is>
      </c>
      <c r="G6" s="17" t="inlineStr"/>
      <c r="H6" s="17" t="inlineStr"/>
    </row>
    <row r="7">
      <c r="A7" s="18" t="inlineStr">
        <is>
          <t>QA001</t>
        </is>
      </c>
      <c r="B7" s="18" t="inlineStr">
        <is>
          <t>Alignment</t>
        </is>
      </c>
      <c r="C7" s="18" t="inlineStr">
        <is>
          <t>Outcome alignment</t>
        </is>
      </c>
      <c r="D7" s="18" t="inlineStr">
        <is>
          <t>Every asset maps to ≥1 outcome</t>
        </is>
      </c>
      <c r="E7" s="18" t="n"/>
      <c r="F7" s="18" t="n"/>
      <c r="G7" s="18" t="n"/>
      <c r="H7" s="18" t="n"/>
    </row>
    <row r="8">
      <c r="A8" s="18" t="inlineStr">
        <is>
          <t>QA002</t>
        </is>
      </c>
      <c r="B8" s="18" t="inlineStr">
        <is>
          <t>Consistency</t>
        </is>
      </c>
      <c r="C8" s="18" t="inlineStr">
        <is>
          <t>Brand alignment</t>
        </is>
      </c>
      <c r="D8" s="18" t="inlineStr">
        <is>
          <t>Colors, fonts, tone match Brand Sheet</t>
        </is>
      </c>
      <c r="E8" s="18" t="n"/>
      <c r="F8" s="18" t="n"/>
      <c r="G8" s="18" t="n"/>
      <c r="H8" s="18" t="n"/>
    </row>
    <row r="9">
      <c r="A9" s="18" t="inlineStr">
        <is>
          <t>QA003</t>
        </is>
      </c>
      <c r="B9" s="18" t="inlineStr">
        <is>
          <t>Compliance</t>
        </is>
      </c>
      <c r="C9" s="18" t="inlineStr">
        <is>
          <t>Accessibility audit</t>
        </is>
      </c>
      <c r="D9" s="18" t="inlineStr">
        <is>
          <t>All WCAG criteria on tab 10 marked Pass or Waived</t>
        </is>
      </c>
      <c r="E9" s="18" t="n"/>
      <c r="F9" s="18" t="n"/>
      <c r="G9" s="18" t="n"/>
      <c r="H9" s="18" t="n"/>
    </row>
    <row r="10">
      <c r="A10" s="18" t="inlineStr">
        <is>
          <t>QA004</t>
        </is>
      </c>
      <c r="B10" s="18" t="inlineStr">
        <is>
          <t>Navigation</t>
        </is>
      </c>
      <c r="C10" s="18" t="inlineStr">
        <is>
          <t>Link health</t>
        </is>
      </c>
      <c r="D10" s="18" t="inlineStr">
        <is>
          <t>Every URL in Asset Library returns 200</t>
        </is>
      </c>
      <c r="E10" s="18" t="n"/>
      <c r="F10" s="18" t="n"/>
      <c r="G10" s="18" t="n"/>
      <c r="H10" s="18" t="n"/>
    </row>
    <row r="11">
      <c r="A11" s="18" t="inlineStr">
        <is>
          <t>QA005</t>
        </is>
      </c>
      <c r="B11" s="18" t="inlineStr">
        <is>
          <t>Alignment</t>
        </is>
      </c>
      <c r="C11" s="18" t="inlineStr">
        <is>
          <t>Outcome coverage</t>
        </is>
      </c>
      <c r="D11" s="18" t="inlineStr">
        <is>
          <t>Every outcome has ≥1 asset + ≥1 assessment</t>
        </is>
      </c>
      <c r="E11" s="18" t="n"/>
      <c r="F11" s="18" t="n"/>
      <c r="G11" s="18" t="n"/>
      <c r="H11" s="18" t="n"/>
    </row>
    <row r="12">
      <c r="A12" s="18" t="inlineStr">
        <is>
          <t>QA006</t>
        </is>
      </c>
      <c r="B12" s="18" t="inlineStr">
        <is>
          <t>Compliance</t>
        </is>
      </c>
      <c r="C12" s="18" t="inlineStr">
        <is>
          <t>RSI evidence</t>
        </is>
      </c>
      <c r="D12" s="18" t="inlineStr">
        <is>
          <t>≥1 RSI entry per module on tab 11</t>
        </is>
      </c>
      <c r="E12" s="18" t="n"/>
      <c r="F12" s="18" t="n"/>
      <c r="G12" s="18" t="n"/>
      <c r="H12" s="18" t="n"/>
    </row>
    <row r="13">
      <c r="A13" s="18" t="inlineStr">
        <is>
          <t>QA007</t>
        </is>
      </c>
      <c r="B13" s="18" t="inlineStr">
        <is>
          <t>Student experience</t>
        </is>
      </c>
      <c r="C13" s="18" t="inlineStr">
        <is>
          <t>Embed readiness</t>
        </is>
      </c>
      <c r="D13" s="18" t="inlineStr">
        <is>
          <t>HTML embeds tested in LMS iframe</t>
        </is>
      </c>
      <c r="E13" s="18" t="n"/>
      <c r="F13" s="18" t="n"/>
      <c r="G13" s="18" t="n"/>
      <c r="H13" s="18" t="n"/>
    </row>
    <row r="14">
      <c r="A14" s="18" t="inlineStr">
        <is>
          <t>QA008</t>
        </is>
      </c>
      <c r="B14" s="18" t="inlineStr">
        <is>
          <t>Compliance</t>
        </is>
      </c>
      <c r="C14" s="18" t="inlineStr">
        <is>
          <t>Compliance notes filed</t>
        </is>
      </c>
      <c r="D14" s="18" t="inlineStr">
        <is>
          <t>compliance-notes.md saved in project folder</t>
        </is>
      </c>
      <c r="E14" s="18" t="n"/>
      <c r="F14" s="18" t="n"/>
      <c r="G14" s="18" t="n"/>
      <c r="H14" s="18" t="n"/>
    </row>
    <row r="15">
      <c r="A15" s="18" t="inlineStr">
        <is>
          <t>QA009</t>
        </is>
      </c>
      <c r="B15" s="18" t="inlineStr">
        <is>
          <t>Student experience</t>
        </is>
      </c>
      <c r="C15" s="18" t="inlineStr">
        <is>
          <t>Mobile readiness</t>
        </is>
      </c>
      <c r="D15" s="18" t="inlineStr">
        <is>
          <t>All HTML deliverables pass 320px viewport test</t>
        </is>
      </c>
      <c r="E15" s="18" t="n"/>
      <c r="F15" s="18" t="n"/>
      <c r="G15" s="18" t="n"/>
      <c r="H15" s="18" t="n"/>
    </row>
    <row r="16">
      <c r="A16" s="18" t="inlineStr">
        <is>
          <t>QA010</t>
        </is>
      </c>
      <c r="B16" s="18" t="inlineStr">
        <is>
          <t>Outcome coverage</t>
        </is>
      </c>
      <c r="C16" s="18" t="inlineStr">
        <is>
          <t>Bloom/DOK spread</t>
        </is>
      </c>
      <c r="D16" s="18" t="inlineStr">
        <is>
          <t>Outcomes span at least 3 Bloom levels</t>
        </is>
      </c>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sheetData>
  <mergeCells count="3">
    <mergeCell ref="A3:H3"/>
    <mergeCell ref="A2:H2"/>
    <mergeCell ref="A1:H1"/>
  </mergeCells>
  <dataValidations count="1">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showDropDown="0" showInputMessage="0" showErrorMessage="0" allowBlank="1" type="list">
      <formula1>=Lookups!$F$2:$F$5</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6"/>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18" customWidth="1" min="3" max="3"/>
    <col width="14" customWidth="1" min="4" max="4"/>
    <col width="16" customWidth="1" min="5" max="5"/>
    <col width="18" customWidth="1" min="6" max="6"/>
    <col width="28" customWidth="1" min="7" max="7"/>
  </cols>
  <sheetData>
    <row r="1" ht="16" customHeight="1">
      <c r="A1" s="1" t="inlineStr">
        <is>
          <t>TAB 13 · LAUNCH PHASE</t>
        </is>
      </c>
    </row>
    <row r="2" ht="28" customHeight="1">
      <c r="A2" s="2" t="inlineStr">
        <is>
          <t>Launch Readiness</t>
        </is>
      </c>
    </row>
    <row r="3" ht="28" customHeight="1">
      <c r="A3" s="3" t="inlineStr">
        <is>
          <t>Final mile. Sign-offs and dry-run before students arrive.</t>
        </is>
      </c>
    </row>
    <row r="4" ht="36" customHeight="1">
      <c r="A4" s="15" t="inlineStr">
        <is>
          <t>Task ID</t>
        </is>
      </c>
      <c r="B4" s="15" t="inlineStr">
        <is>
          <t>Task</t>
        </is>
      </c>
      <c r="C4" s="15" t="inlineStr">
        <is>
          <t>Owner</t>
        </is>
      </c>
      <c r="D4" s="15" t="inlineStr">
        <is>
          <t>Due Date</t>
        </is>
      </c>
      <c r="E4" s="15" t="inlineStr">
        <is>
          <t>Status</t>
        </is>
      </c>
      <c r="F4" s="15" t="inlineStr">
        <is>
          <t>Dependencies</t>
        </is>
      </c>
      <c r="G4" s="15" t="inlineStr">
        <is>
          <t>Notes</t>
        </is>
      </c>
    </row>
    <row r="5" ht="56" customHeight="1">
      <c r="A5" s="16" t="inlineStr">
        <is>
          <t>L001…</t>
        </is>
      </c>
      <c r="B5" s="16" t="inlineStr">
        <is>
          <t>What needs to happen</t>
        </is>
      </c>
      <c r="C5" s="16" t="inlineStr">
        <is>
          <t>Who owns it</t>
        </is>
      </c>
      <c r="D5" s="16" t="inlineStr">
        <is>
          <t>YYYY-MM-DD</t>
        </is>
      </c>
      <c r="E5" s="16" t="inlineStr">
        <is>
          <t>Pick from list</t>
        </is>
      </c>
      <c r="F5" s="16" t="inlineStr">
        <is>
          <t>Task IDs that must finish first</t>
        </is>
      </c>
      <c r="G5" s="16" t="inlineStr">
        <is>
          <t>Optional</t>
        </is>
      </c>
    </row>
    <row r="6" ht="24" customHeight="1">
      <c r="A6" s="17" t="inlineStr">
        <is>
          <t>L001</t>
        </is>
      </c>
      <c r="B6" s="17" t="inlineStr">
        <is>
          <t>Course blueprint signed off</t>
        </is>
      </c>
      <c r="C6" s="17" t="inlineStr"/>
      <c r="D6" s="17" t="inlineStr"/>
      <c r="E6" s="17" t="inlineStr">
        <is>
          <t>Not started</t>
        </is>
      </c>
      <c r="F6" s="17" t="inlineStr"/>
      <c r="G6" s="17" t="inlineStr"/>
    </row>
    <row r="7">
      <c r="A7" s="18" t="inlineStr">
        <is>
          <t>L001</t>
        </is>
      </c>
      <c r="B7" s="18" t="inlineStr">
        <is>
          <t>Course blueprint signed off</t>
        </is>
      </c>
      <c r="C7" s="18" t="n"/>
      <c r="D7" s="18" t="n"/>
      <c r="E7" s="18" t="n"/>
      <c r="F7" s="18" t="n"/>
      <c r="G7" s="18" t="n"/>
    </row>
    <row r="8">
      <c r="A8" s="18" t="inlineStr">
        <is>
          <t>L002</t>
        </is>
      </c>
      <c r="B8" s="18" t="inlineStr">
        <is>
          <t>Faculty Brand Sheet locked (JSON exported)</t>
        </is>
      </c>
      <c r="C8" s="18" t="n"/>
      <c r="D8" s="18" t="n"/>
      <c r="E8" s="18" t="n"/>
      <c r="F8" s="18" t="n"/>
      <c r="G8" s="18" t="n"/>
    </row>
    <row r="9">
      <c r="A9" s="18" t="inlineStr">
        <is>
          <t>L003</t>
        </is>
      </c>
      <c r="B9" s="18" t="inlineStr">
        <is>
          <t>Prototype selection confirmed</t>
        </is>
      </c>
      <c r="C9" s="18" t="n"/>
      <c r="D9" s="18" t="n"/>
      <c r="E9" s="18" t="n"/>
      <c r="F9" s="18" t="n"/>
      <c r="G9" s="18" t="n"/>
    </row>
    <row r="10">
      <c r="A10" s="18" t="inlineStr">
        <is>
          <t>L004</t>
        </is>
      </c>
      <c r="B10" s="18" t="inlineStr">
        <is>
          <t>All outcomes mapped to assets + assessments</t>
        </is>
      </c>
      <c r="C10" s="18" t="n"/>
      <c r="D10" s="18" t="n"/>
      <c r="E10" s="18" t="n"/>
      <c r="F10" s="18" t="n"/>
      <c r="G10" s="18" t="n"/>
    </row>
    <row r="11">
      <c r="A11" s="18" t="inlineStr">
        <is>
          <t>L005</t>
        </is>
      </c>
      <c r="B11" s="18" t="inlineStr">
        <is>
          <t>Accessibility audit passed (tab 10 closed out)</t>
        </is>
      </c>
      <c r="C11" s="18" t="n"/>
      <c r="D11" s="18" t="n"/>
      <c r="E11" s="18" t="n"/>
      <c r="F11" s="18" t="n"/>
      <c r="G11" s="18" t="n"/>
    </row>
    <row r="12">
      <c r="A12" s="18" t="inlineStr">
        <is>
          <t>L006</t>
        </is>
      </c>
      <c r="B12" s="18" t="inlineStr">
        <is>
          <t>RSI evidence matrix complete (tab 11)</t>
        </is>
      </c>
      <c r="C12" s="18" t="n"/>
      <c r="D12" s="18" t="n"/>
      <c r="E12" s="18" t="n"/>
      <c r="F12" s="18" t="n"/>
      <c r="G12" s="18" t="n"/>
    </row>
    <row r="13">
      <c r="A13" s="18" t="inlineStr">
        <is>
          <t>L007</t>
        </is>
      </c>
      <c r="B13" s="18" t="inlineStr">
        <is>
          <t>Quality Assurance checklist passed (tab 12)</t>
        </is>
      </c>
      <c r="C13" s="18" t="n"/>
      <c r="D13" s="18" t="n"/>
      <c r="E13" s="18" t="n"/>
      <c r="F13" s="18" t="n"/>
      <c r="G13" s="18" t="n"/>
    </row>
    <row r="14">
      <c r="A14" s="18" t="inlineStr">
        <is>
          <t>L008</t>
        </is>
      </c>
      <c r="B14" s="18" t="inlineStr">
        <is>
          <t>Compliance notes filed (compliance-notes.md)</t>
        </is>
      </c>
      <c r="C14" s="18" t="n"/>
      <c r="D14" s="18" t="n"/>
      <c r="E14" s="18" t="n"/>
      <c r="F14" s="18" t="n"/>
      <c r="G14" s="18" t="n"/>
    </row>
    <row r="15">
      <c r="A15" s="18" t="inlineStr">
        <is>
          <t>L009</t>
        </is>
      </c>
      <c r="B15" s="18" t="inlineStr">
        <is>
          <t>LMS shell populated</t>
        </is>
      </c>
      <c r="C15" s="18" t="n"/>
      <c r="D15" s="18" t="n"/>
      <c r="E15" s="18" t="n"/>
      <c r="F15" s="18" t="n"/>
      <c r="G15" s="18" t="n"/>
    </row>
    <row r="16">
      <c r="A16" s="18" t="inlineStr">
        <is>
          <t>L010</t>
        </is>
      </c>
      <c r="B16" s="18" t="inlineStr">
        <is>
          <t>Embeds tested in LMS iframe</t>
        </is>
      </c>
      <c r="C16" s="18" t="n"/>
      <c r="D16" s="18" t="n"/>
      <c r="E16" s="18" t="n"/>
      <c r="F16" s="18" t="n"/>
      <c r="G16" s="18" t="n"/>
    </row>
    <row r="17">
      <c r="A17" s="18" t="inlineStr">
        <is>
          <t>L011</t>
        </is>
      </c>
      <c r="B17" s="18" t="inlineStr">
        <is>
          <t>Syllabus byline + contact info reviewed</t>
        </is>
      </c>
      <c r="C17" s="18" t="n"/>
      <c r="D17" s="18" t="n"/>
      <c r="E17" s="18" t="n"/>
      <c r="F17" s="18" t="n"/>
      <c r="G17" s="18" t="n"/>
    </row>
    <row r="18">
      <c r="A18" s="18" t="inlineStr">
        <is>
          <t>L012</t>
        </is>
      </c>
      <c r="B18" s="18" t="inlineStr">
        <is>
          <t>Launch dry-run completed</t>
        </is>
      </c>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row r="58">
      <c r="A58" s="18" t="n"/>
      <c r="B58" s="18" t="n"/>
      <c r="C58" s="18" t="n"/>
      <c r="D58" s="18" t="n"/>
      <c r="E58" s="18" t="n"/>
      <c r="F58" s="18" t="n"/>
      <c r="G58" s="18" t="n"/>
    </row>
    <row r="59">
      <c r="A59" s="18" t="n"/>
      <c r="B59" s="18" t="n"/>
      <c r="C59" s="18" t="n"/>
      <c r="D59" s="18" t="n"/>
      <c r="E59" s="18" t="n"/>
      <c r="F59" s="18" t="n"/>
      <c r="G59" s="18" t="n"/>
    </row>
    <row r="60">
      <c r="A60" s="18" t="n"/>
      <c r="B60" s="18" t="n"/>
      <c r="C60" s="18" t="n"/>
      <c r="D60" s="18" t="n"/>
      <c r="E60" s="18" t="n"/>
      <c r="F60" s="18" t="n"/>
      <c r="G60" s="18" t="n"/>
    </row>
    <row r="61">
      <c r="A61" s="18" t="n"/>
      <c r="B61" s="18" t="n"/>
      <c r="C61" s="18" t="n"/>
      <c r="D61" s="18" t="n"/>
      <c r="E61" s="18" t="n"/>
      <c r="F61" s="18" t="n"/>
      <c r="G61" s="18" t="n"/>
    </row>
    <row r="62">
      <c r="A62" s="18" t="n"/>
      <c r="B62" s="18" t="n"/>
      <c r="C62" s="18" t="n"/>
      <c r="D62" s="18" t="n"/>
      <c r="E62" s="18" t="n"/>
      <c r="F62" s="18" t="n"/>
      <c r="G62" s="18" t="n"/>
    </row>
    <row r="63">
      <c r="A63" s="18" t="n"/>
      <c r="B63" s="18" t="n"/>
      <c r="C63" s="18" t="n"/>
      <c r="D63" s="18" t="n"/>
      <c r="E63" s="18" t="n"/>
      <c r="F63" s="18" t="n"/>
      <c r="G63" s="18" t="n"/>
    </row>
    <row r="64">
      <c r="A64" s="18" t="n"/>
      <c r="B64" s="18" t="n"/>
      <c r="C64" s="18" t="n"/>
      <c r="D64" s="18" t="n"/>
      <c r="E64" s="18" t="n"/>
      <c r="F64" s="18" t="n"/>
      <c r="G64" s="18" t="n"/>
    </row>
    <row r="65">
      <c r="A65" s="18" t="n"/>
      <c r="B65" s="18" t="n"/>
      <c r="C65" s="18" t="n"/>
      <c r="D65" s="18" t="n"/>
      <c r="E65" s="18" t="n"/>
      <c r="F65" s="18" t="n"/>
      <c r="G65" s="18" t="n"/>
    </row>
    <row r="66">
      <c r="A66" s="18" t="n"/>
      <c r="B66" s="18" t="n"/>
      <c r="C66" s="18" t="n"/>
      <c r="D66" s="18" t="n"/>
      <c r="E66" s="18" t="n"/>
      <c r="F66" s="18" t="n"/>
      <c r="G66" s="18" t="n"/>
    </row>
    <row r="67">
      <c r="A67" s="18" t="n"/>
      <c r="B67" s="18" t="n"/>
      <c r="C67" s="18" t="n"/>
      <c r="D67" s="18" t="n"/>
      <c r="E67" s="18" t="n"/>
      <c r="F67" s="18" t="n"/>
      <c r="G67" s="18" t="n"/>
    </row>
    <row r="68">
      <c r="A68" s="18" t="n"/>
      <c r="B68" s="18" t="n"/>
      <c r="C68" s="18" t="n"/>
      <c r="D68" s="18" t="n"/>
      <c r="E68" s="18" t="n"/>
      <c r="F68" s="18" t="n"/>
      <c r="G68" s="18" t="n"/>
    </row>
    <row r="69">
      <c r="A69" s="18" t="n"/>
      <c r="B69" s="18" t="n"/>
      <c r="C69" s="18" t="n"/>
      <c r="D69" s="18" t="n"/>
      <c r="E69" s="18" t="n"/>
      <c r="F69" s="18" t="n"/>
      <c r="G69" s="18" t="n"/>
    </row>
    <row r="70">
      <c r="A70" s="18" t="n"/>
      <c r="B70" s="18" t="n"/>
      <c r="C70" s="18" t="n"/>
      <c r="D70" s="18" t="n"/>
      <c r="E70" s="18" t="n"/>
      <c r="F70" s="18" t="n"/>
      <c r="G70" s="18" t="n"/>
    </row>
    <row r="71">
      <c r="A71" s="18" t="n"/>
      <c r="B71" s="18" t="n"/>
      <c r="C71" s="18" t="n"/>
      <c r="D71" s="18" t="n"/>
      <c r="E71" s="18" t="n"/>
      <c r="F71" s="18" t="n"/>
      <c r="G71" s="18" t="n"/>
    </row>
    <row r="72">
      <c r="A72" s="18" t="n"/>
      <c r="B72" s="18" t="n"/>
      <c r="C72" s="18" t="n"/>
      <c r="D72" s="18" t="n"/>
      <c r="E72" s="18" t="n"/>
      <c r="F72" s="18" t="n"/>
      <c r="G72" s="18" t="n"/>
    </row>
    <row r="73">
      <c r="A73" s="18" t="n"/>
      <c r="B73" s="18" t="n"/>
      <c r="C73" s="18" t="n"/>
      <c r="D73" s="18" t="n"/>
      <c r="E73" s="18" t="n"/>
      <c r="F73" s="18" t="n"/>
      <c r="G73" s="18" t="n"/>
    </row>
    <row r="74">
      <c r="A74" s="18" t="n"/>
      <c r="B74" s="18" t="n"/>
      <c r="C74" s="18" t="n"/>
      <c r="D74" s="18" t="n"/>
      <c r="E74" s="18" t="n"/>
      <c r="F74" s="18" t="n"/>
      <c r="G74" s="18" t="n"/>
    </row>
    <row r="75">
      <c r="A75" s="18" t="n"/>
      <c r="B75" s="18" t="n"/>
      <c r="C75" s="18" t="n"/>
      <c r="D75" s="18" t="n"/>
      <c r="E75" s="18" t="n"/>
      <c r="F75" s="18" t="n"/>
      <c r="G75" s="18" t="n"/>
    </row>
    <row r="76">
      <c r="A76" s="18" t="n"/>
      <c r="B76" s="18" t="n"/>
      <c r="C76" s="18" t="n"/>
      <c r="D76" s="18" t="n"/>
      <c r="E76" s="18" t="n"/>
      <c r="F76" s="18" t="n"/>
      <c r="G76" s="18" t="n"/>
    </row>
    <row r="77">
      <c r="A77" s="18" t="n"/>
      <c r="B77" s="18" t="n"/>
      <c r="C77" s="18" t="n"/>
      <c r="D77" s="18" t="n"/>
      <c r="E77" s="18" t="n"/>
      <c r="F77" s="18" t="n"/>
      <c r="G77" s="18" t="n"/>
    </row>
    <row r="78">
      <c r="A78" s="18" t="n"/>
      <c r="B78" s="18" t="n"/>
      <c r="C78" s="18" t="n"/>
      <c r="D78" s="18" t="n"/>
      <c r="E78" s="18" t="n"/>
      <c r="F78" s="18" t="n"/>
      <c r="G78" s="18" t="n"/>
    </row>
    <row r="79">
      <c r="A79" s="18" t="n"/>
      <c r="B79" s="18" t="n"/>
      <c r="C79" s="18" t="n"/>
      <c r="D79" s="18" t="n"/>
      <c r="E79" s="18" t="n"/>
      <c r="F79" s="18" t="n"/>
      <c r="G79" s="18" t="n"/>
    </row>
    <row r="80">
      <c r="A80" s="18" t="n"/>
      <c r="B80" s="18" t="n"/>
      <c r="C80" s="18" t="n"/>
      <c r="D80" s="18" t="n"/>
      <c r="E80" s="18" t="n"/>
      <c r="F80" s="18" t="n"/>
      <c r="G80" s="18" t="n"/>
    </row>
    <row r="81">
      <c r="A81" s="18" t="n"/>
      <c r="B81" s="18" t="n"/>
      <c r="C81" s="18" t="n"/>
      <c r="D81" s="18" t="n"/>
      <c r="E81" s="18" t="n"/>
      <c r="F81" s="18" t="n"/>
      <c r="G81" s="18" t="n"/>
    </row>
    <row r="82">
      <c r="A82" s="18" t="n"/>
      <c r="B82" s="18" t="n"/>
      <c r="C82" s="18" t="n"/>
      <c r="D82" s="18" t="n"/>
      <c r="E82" s="18" t="n"/>
      <c r="F82" s="18" t="n"/>
      <c r="G82" s="18" t="n"/>
    </row>
    <row r="83">
      <c r="A83" s="18" t="n"/>
      <c r="B83" s="18" t="n"/>
      <c r="C83" s="18" t="n"/>
      <c r="D83" s="18" t="n"/>
      <c r="E83" s="18" t="n"/>
      <c r="F83" s="18" t="n"/>
      <c r="G83" s="18" t="n"/>
    </row>
    <row r="84">
      <c r="A84" s="18" t="n"/>
      <c r="B84" s="18" t="n"/>
      <c r="C84" s="18" t="n"/>
      <c r="D84" s="18" t="n"/>
      <c r="E84" s="18" t="n"/>
      <c r="F84" s="18" t="n"/>
      <c r="G84" s="18" t="n"/>
    </row>
    <row r="85">
      <c r="A85" s="18" t="n"/>
      <c r="B85" s="18" t="n"/>
      <c r="C85" s="18" t="n"/>
      <c r="D85" s="18" t="n"/>
      <c r="E85" s="18" t="n"/>
      <c r="F85" s="18" t="n"/>
      <c r="G85" s="18" t="n"/>
    </row>
    <row r="86">
      <c r="A86" s="18" t="n"/>
      <c r="B86" s="18" t="n"/>
      <c r="C86" s="18" t="n"/>
      <c r="D86" s="18" t="n"/>
      <c r="E86" s="18" t="n"/>
      <c r="F86" s="18" t="n"/>
      <c r="G86" s="18" t="n"/>
    </row>
  </sheetData>
  <mergeCells count="3">
    <mergeCell ref="A3:G3"/>
    <mergeCell ref="A2:G2"/>
    <mergeCell ref="A1:G1"/>
  </mergeCells>
  <dataValidations count="1">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showDropDown="0" showInputMessage="0" showErrorMessage="0" allowBlank="1" type="list">
      <formula1>=Lookups!$D$2:$D$6</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7" t="inlineStr">
        <is>
          <t>Prototype</t>
        </is>
      </c>
      <c r="B1" s="7" t="inlineStr">
        <is>
          <t>Modality</t>
        </is>
      </c>
      <c r="C1" s="7" t="inlineStr">
        <is>
          <t>Status_Course</t>
        </is>
      </c>
      <c r="D1" s="7" t="inlineStr">
        <is>
          <t>Status_Generic</t>
        </is>
      </c>
      <c r="E1" s="7" t="inlineStr">
        <is>
          <t>Status_Asset</t>
        </is>
      </c>
      <c r="F1" s="7" t="inlineStr">
        <is>
          <t>Status_QA</t>
        </is>
      </c>
      <c r="G1" s="7" t="inlineStr">
        <is>
          <t>Status_A11y</t>
        </is>
      </c>
      <c r="H1" s="7" t="inlineStr">
        <is>
          <t>Format</t>
        </is>
      </c>
      <c r="I1" s="7" t="inlineStr">
        <is>
          <t>ConvertHTML</t>
        </is>
      </c>
      <c r="J1" s="7" t="inlineStr">
        <is>
          <t>YesNo</t>
        </is>
      </c>
      <c r="K1" s="7" t="inlineStr">
        <is>
          <t>Asset_Type</t>
        </is>
      </c>
      <c r="L1" s="7" t="inlineStr">
        <is>
          <t>Source</t>
        </is>
      </c>
      <c r="M1" s="7" t="inlineStr">
        <is>
          <t>Bloom</t>
        </is>
      </c>
      <c r="N1" s="7" t="inlineStr">
        <is>
          <t>DOK</t>
        </is>
      </c>
      <c r="O1" s="7" t="inlineStr">
        <is>
          <t>RSI_Category</t>
        </is>
      </c>
      <c r="P1" s="7" t="inlineStr">
        <is>
          <t>WCAG_Target</t>
        </is>
      </c>
      <c r="Q1" s="7" t="inlineStr">
        <is>
          <t>Assessment_Type</t>
        </is>
      </c>
      <c r="R1" s="7" t="inlineStr">
        <is>
          <t>Engagement_Type</t>
        </is>
      </c>
      <c r="S1" s="7" t="inlineStr">
        <is>
          <t>DoW</t>
        </is>
      </c>
      <c r="T1" s="7" t="inlineStr">
        <is>
          <t>Lab_Type</t>
        </is>
      </c>
    </row>
    <row r="2">
      <c r="A2" t="inlineStr">
        <is>
          <t>Traditional Online</t>
        </is>
      </c>
      <c r="B2" t="inlineStr">
        <is>
          <t>In-person</t>
        </is>
      </c>
      <c r="C2" t="inlineStr">
        <is>
          <t>Active</t>
        </is>
      </c>
      <c r="D2" t="inlineStr">
        <is>
          <t>Not started</t>
        </is>
      </c>
      <c r="E2" t="inlineStr">
        <is>
          <t>Planned</t>
        </is>
      </c>
      <c r="F2" t="inlineStr">
        <is>
          <t>Pending</t>
        </is>
      </c>
      <c r="G2" t="inlineStr">
        <is>
          <t>Pass</t>
        </is>
      </c>
      <c r="H2" t="inlineStr">
        <is>
          <t>HTML</t>
        </is>
      </c>
      <c r="I2" t="inlineStr">
        <is>
          <t>Yes</t>
        </is>
      </c>
      <c r="J2" t="inlineStr">
        <is>
          <t>Yes</t>
        </is>
      </c>
      <c r="K2" t="inlineStr">
        <is>
          <t>Video</t>
        </is>
      </c>
      <c r="L2" t="inlineStr">
        <is>
          <t>LMS-hosted</t>
        </is>
      </c>
      <c r="M2" t="inlineStr">
        <is>
          <t>Remember</t>
        </is>
      </c>
      <c r="N2" t="n">
        <v>1</v>
      </c>
      <c r="O2" t="inlineStr">
        <is>
          <t>Instructor Presence</t>
        </is>
      </c>
      <c r="P2" t="inlineStr">
        <is>
          <t>AA</t>
        </is>
      </c>
      <c r="Q2" t="inlineStr">
        <is>
          <t>Quiz</t>
        </is>
      </c>
      <c r="R2" t="inlineStr">
        <is>
          <t>Active learning</t>
        </is>
      </c>
      <c r="S2" t="inlineStr">
        <is>
          <t>Mon</t>
        </is>
      </c>
      <c r="T2" t="inlineStr">
        <is>
          <t>Wet lab</t>
        </is>
      </c>
    </row>
    <row r="3">
      <c r="A3" t="inlineStr">
        <is>
          <t>Hybrid</t>
        </is>
      </c>
      <c r="B3" t="inlineStr">
        <is>
          <t>Online</t>
        </is>
      </c>
      <c r="C3" t="inlineStr">
        <is>
          <t>Drafting</t>
        </is>
      </c>
      <c r="D3" t="inlineStr">
        <is>
          <t>In progress</t>
        </is>
      </c>
      <c r="E3" t="inlineStr">
        <is>
          <t>Drafted</t>
        </is>
      </c>
      <c r="F3" t="inlineStr">
        <is>
          <t>Pass</t>
        </is>
      </c>
      <c r="G3" t="inlineStr">
        <is>
          <t>Fail</t>
        </is>
      </c>
      <c r="H3" t="inlineStr">
        <is>
          <t>DOCX</t>
        </is>
      </c>
      <c r="I3" t="inlineStr">
        <is>
          <t>No</t>
        </is>
      </c>
      <c r="J3" t="inlineStr">
        <is>
          <t>No</t>
        </is>
      </c>
      <c r="K3" t="inlineStr">
        <is>
          <t>Reading</t>
        </is>
      </c>
      <c r="L3" t="inlineStr">
        <is>
          <t>GitHub Pages</t>
        </is>
      </c>
      <c r="M3" t="inlineStr">
        <is>
          <t>Understand</t>
        </is>
      </c>
      <c r="N3" t="n">
        <v>2</v>
      </c>
      <c r="O3" t="inlineStr">
        <is>
          <t>Direct Instruction</t>
        </is>
      </c>
      <c r="P3" t="inlineStr">
        <is>
          <t>AAA</t>
        </is>
      </c>
      <c r="Q3" t="inlineStr">
        <is>
          <t>Test</t>
        </is>
      </c>
      <c r="R3" t="inlineStr">
        <is>
          <t>Drawing-based</t>
        </is>
      </c>
      <c r="S3" t="inlineStr">
        <is>
          <t>Tue</t>
        </is>
      </c>
      <c r="T3" t="inlineStr">
        <is>
          <t>Dry lab</t>
        </is>
      </c>
    </row>
    <row r="4">
      <c r="A4" t="inlineStr">
        <is>
          <t>Team-Based Learning (TBL)</t>
        </is>
      </c>
      <c r="B4" t="inlineStr">
        <is>
          <t>Hybrid</t>
        </is>
      </c>
      <c r="C4" t="inlineStr">
        <is>
          <t>Skeleton</t>
        </is>
      </c>
      <c r="D4" t="inlineStr">
        <is>
          <t>Blocked</t>
        </is>
      </c>
      <c r="E4" t="inlineStr">
        <is>
          <t>In review</t>
        </is>
      </c>
      <c r="F4" t="inlineStr">
        <is>
          <t>Fail</t>
        </is>
      </c>
      <c r="G4" t="inlineStr">
        <is>
          <t>Partial</t>
        </is>
      </c>
      <c r="H4" t="inlineStr">
        <is>
          <t>PDF</t>
        </is>
      </c>
      <c r="I4" t="inlineStr">
        <is>
          <t>N/A</t>
        </is>
      </c>
      <c r="J4" t="inlineStr">
        <is>
          <t>N/A</t>
        </is>
      </c>
      <c r="K4" t="inlineStr">
        <is>
          <t>Slide deck</t>
        </is>
      </c>
      <c r="L4" t="inlineStr">
        <is>
          <t>Public site</t>
        </is>
      </c>
      <c r="M4" t="inlineStr">
        <is>
          <t>Apply</t>
        </is>
      </c>
      <c r="N4" t="n">
        <v>3</v>
      </c>
      <c r="O4" t="inlineStr">
        <is>
          <t>Guided Facilitation</t>
        </is>
      </c>
      <c r="Q4" t="inlineStr">
        <is>
          <t>Midterm</t>
        </is>
      </c>
      <c r="R4" t="inlineStr">
        <is>
          <t>Case study</t>
        </is>
      </c>
      <c r="S4" t="inlineStr">
        <is>
          <t>Wed</t>
        </is>
      </c>
      <c r="T4" t="inlineStr">
        <is>
          <t>Virtual sim</t>
        </is>
      </c>
    </row>
    <row r="5">
      <c r="A5" t="inlineStr">
        <is>
          <t>Case-Based</t>
        </is>
      </c>
      <c r="B5" t="inlineStr">
        <is>
          <t>HyFlex</t>
        </is>
      </c>
      <c r="C5" t="inlineStr">
        <is>
          <t>Paused</t>
        </is>
      </c>
      <c r="D5" t="inlineStr">
        <is>
          <t>Complete</t>
        </is>
      </c>
      <c r="E5" t="inlineStr">
        <is>
          <t>Approved</t>
        </is>
      </c>
      <c r="F5" t="inlineStr">
        <is>
          <t>Waived</t>
        </is>
      </c>
      <c r="G5" t="inlineStr">
        <is>
          <t>N/A</t>
        </is>
      </c>
      <c r="H5" t="inlineStr">
        <is>
          <t>PPTX</t>
        </is>
      </c>
      <c r="K5" t="inlineStr">
        <is>
          <t>Worksheet</t>
        </is>
      </c>
      <c r="L5" t="inlineStr">
        <is>
          <t>YouTube</t>
        </is>
      </c>
      <c r="M5" t="inlineStr">
        <is>
          <t>Analyze</t>
        </is>
      </c>
      <c r="N5" t="n">
        <v>4</v>
      </c>
      <c r="O5" t="inlineStr">
        <is>
          <t>Feedback</t>
        </is>
      </c>
      <c r="Q5" t="inlineStr">
        <is>
          <t>Final</t>
        </is>
      </c>
      <c r="R5" t="inlineStr">
        <is>
          <t>Simulation</t>
        </is>
      </c>
      <c r="S5" t="inlineStr">
        <is>
          <t>Thu</t>
        </is>
      </c>
      <c r="T5" t="inlineStr">
        <is>
          <t>Dissection</t>
        </is>
      </c>
    </row>
    <row r="6">
      <c r="A6" t="inlineStr">
        <is>
          <t>Accelerated</t>
        </is>
      </c>
      <c r="B6" t="inlineStr">
        <is>
          <t>Async</t>
        </is>
      </c>
      <c r="C6" t="inlineStr">
        <is>
          <t>Archived</t>
        </is>
      </c>
      <c r="D6" t="inlineStr">
        <is>
          <t>Skipped</t>
        </is>
      </c>
      <c r="E6" t="inlineStr">
        <is>
          <t>Live</t>
        </is>
      </c>
      <c r="H6" t="inlineStr">
        <is>
          <t>Slide deck</t>
        </is>
      </c>
      <c r="K6" t="inlineStr">
        <is>
          <t>Rubric</t>
        </is>
      </c>
      <c r="L6" t="inlineStr">
        <is>
          <t>Vimeo</t>
        </is>
      </c>
      <c r="M6" t="inlineStr">
        <is>
          <t>Evaluate</t>
        </is>
      </c>
      <c r="O6" t="inlineStr">
        <is>
          <t>Communication Plan</t>
        </is>
      </c>
      <c r="Q6" t="inlineStr">
        <is>
          <t>iRAT</t>
        </is>
      </c>
      <c r="R6" t="inlineStr">
        <is>
          <t>Discussion</t>
        </is>
      </c>
      <c r="S6" t="inlineStr">
        <is>
          <t>Fri</t>
        </is>
      </c>
      <c r="T6" t="inlineStr">
        <is>
          <t>Field study</t>
        </is>
      </c>
    </row>
    <row r="7">
      <c r="A7" t="inlineStr">
        <is>
          <t>Competency-Based</t>
        </is>
      </c>
      <c r="B7" t="inlineStr">
        <is>
          <t>Sync</t>
        </is>
      </c>
      <c r="E7" t="inlineStr">
        <is>
          <t>Needs update</t>
        </is>
      </c>
      <c r="H7" t="inlineStr">
        <is>
          <t>Video</t>
        </is>
      </c>
      <c r="K7" t="inlineStr">
        <is>
          <t>HTML tool</t>
        </is>
      </c>
      <c r="L7" t="inlineStr">
        <is>
          <t>Library DB</t>
        </is>
      </c>
      <c r="M7" t="inlineStr">
        <is>
          <t>Create</t>
        </is>
      </c>
      <c r="O7" t="inlineStr">
        <is>
          <t>Evidence</t>
        </is>
      </c>
      <c r="Q7" t="inlineStr">
        <is>
          <t>tRAT</t>
        </is>
      </c>
      <c r="R7" t="inlineStr">
        <is>
          <t>Peer review</t>
        </is>
      </c>
      <c r="S7" t="inlineStr">
        <is>
          <t>Sat</t>
        </is>
      </c>
      <c r="T7" t="inlineStr">
        <is>
          <t>Clinical sim</t>
        </is>
      </c>
    </row>
    <row r="8">
      <c r="A8" t="inlineStr">
        <is>
          <t>Course Redesign / Program Review</t>
        </is>
      </c>
      <c r="E8" t="inlineStr">
        <is>
          <t>Retired</t>
        </is>
      </c>
      <c r="H8" t="inlineStr">
        <is>
          <t>Audio</t>
        </is>
      </c>
      <c r="K8" t="inlineStr">
        <is>
          <t>Simulator</t>
        </is>
      </c>
      <c r="L8" t="inlineStr">
        <is>
          <t>Publisher (OpenStax etc.)</t>
        </is>
      </c>
      <c r="Q8" t="inlineStr">
        <is>
          <t>Application activity</t>
        </is>
      </c>
      <c r="R8" t="inlineStr">
        <is>
          <t>Polling</t>
        </is>
      </c>
      <c r="S8" t="inlineStr">
        <is>
          <t>Sun</t>
        </is>
      </c>
      <c r="T8" t="inlineStr">
        <is>
          <t>Drawing lab</t>
        </is>
      </c>
    </row>
    <row r="9">
      <c r="H9" t="inlineStr">
        <is>
          <t>Image</t>
        </is>
      </c>
      <c r="K9" t="inlineStr">
        <is>
          <t>Quiz</t>
        </is>
      </c>
      <c r="L9" t="inlineStr">
        <is>
          <t>External</t>
        </is>
      </c>
      <c r="Q9" t="inlineStr">
        <is>
          <t>Lab exam</t>
        </is>
      </c>
      <c r="R9" t="inlineStr">
        <is>
          <t>Game</t>
        </is>
      </c>
      <c r="T9" t="inlineStr">
        <is>
          <t>Other</t>
        </is>
      </c>
    </row>
    <row r="10">
      <c r="H10" t="inlineStr">
        <is>
          <t>External link</t>
        </is>
      </c>
      <c r="K10" t="inlineStr">
        <is>
          <t>Lab activity</t>
        </is>
      </c>
      <c r="L10" t="inlineStr">
        <is>
          <t>Local</t>
        </is>
      </c>
      <c r="Q10" t="inlineStr">
        <is>
          <t>Project</t>
        </is>
      </c>
      <c r="R10" t="inlineStr">
        <is>
          <t>Reflection</t>
        </is>
      </c>
    </row>
    <row r="11">
      <c r="H11" t="inlineStr">
        <is>
          <t>Other</t>
        </is>
      </c>
      <c r="K11" t="inlineStr">
        <is>
          <t>Discussion</t>
        </is>
      </c>
      <c r="L11" t="inlineStr">
        <is>
          <t>Other</t>
        </is>
      </c>
      <c r="Q11" t="inlineStr">
        <is>
          <t>Drawing synthesis</t>
        </is>
      </c>
      <c r="R11" t="inlineStr">
        <is>
          <t>Office hours</t>
        </is>
      </c>
    </row>
    <row r="12">
      <c r="K12" t="inlineStr">
        <is>
          <t>Drawing prompt</t>
        </is>
      </c>
      <c r="Q12" t="inlineStr">
        <is>
          <t>Case analysis</t>
        </is>
      </c>
      <c r="R12" t="inlineStr">
        <is>
          <t>Other</t>
        </is>
      </c>
    </row>
    <row r="13">
      <c r="K13" t="inlineStr">
        <is>
          <t>Case study</t>
        </is>
      </c>
      <c r="Q13" t="inlineStr">
        <is>
          <t>Discussion</t>
        </is>
      </c>
    </row>
    <row r="14">
      <c r="K14" t="inlineStr">
        <is>
          <t>External link</t>
        </is>
      </c>
      <c r="Q14" t="inlineStr">
        <is>
          <t>Reflection</t>
        </is>
      </c>
    </row>
    <row r="15">
      <c r="K15" t="inlineStr">
        <is>
          <t>Document</t>
        </is>
      </c>
      <c r="Q15" t="inlineStr">
        <is>
          <t>Presentation</t>
        </is>
      </c>
    </row>
    <row r="16">
      <c r="K16" t="inlineStr">
        <is>
          <t>Other</t>
        </is>
      </c>
      <c r="Q1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2026-05-29T17:21:23Z</dcterms:created>
  <dcterms:modified xmlns:dcterms="http://purl.org/dc/terms/" xmlns:xsi="http://www.w3.org/2001/XMLSchema-instance" xsi:type="dcterms:W3CDTF">2026-05-29T17:26:27Z</dcterms:modified>
</cp:coreProperties>
</file>