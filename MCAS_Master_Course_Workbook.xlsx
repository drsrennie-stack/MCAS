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0 Course Overview" sheetId="2" state="visible" r:id="rId4"/>
    <sheet name="01 Course Information" sheetId="3" state="visible" r:id="rId5"/>
    <sheet name="02 Faculty Brand Sheet" sheetId="4" state="visible" r:id="rId6"/>
    <sheet name="03 Learning Outcomes" sheetId="5" state="visible" r:id="rId7"/>
    <sheet name="04 Asset Capture" sheetId="6" state="visible" r:id="rId8"/>
    <sheet name="05 Schedule &amp; Pacing" sheetId="7" state="visible" r:id="rId9"/>
    <sheet name="06 Module Builder" sheetId="8" state="visible" r:id="rId10"/>
    <sheet name="07 Assessments" sheetId="9" state="visible" r:id="rId11"/>
    <sheet name="08 Engagement" sheetId="10" state="visible" r:id="rId12"/>
    <sheet name="09 Accessibility" sheetId="11" state="visible" r:id="rId13"/>
    <sheet name="10 RSI" sheetId="12" state="visible" r:id="rId14"/>
    <sheet name="11 Quality Assurance" sheetId="13" state="visible" r:id="rId15"/>
    <sheet name="12 Launch" sheetId="14" state="visible" r:id="rId16"/>
    <sheet name="Lookups" sheetId="15" state="hidden" r:id="rId17"/>
  </sheets>
  <definedNames>
    <definedName function="false" hidden="false" name="Assessment_Type" vbProcedure="false">Lookups!$O$2:$O$16</definedName>
    <definedName function="false" hidden="false" name="Asset_Type" vbProcedure="false">Lookups!$G$2:$G$17</definedName>
    <definedName function="false" hidden="false" name="Bloom" vbProcedure="false">Lookups!$J$2:$J$7</definedName>
    <definedName function="false" hidden="false" name="Courses" vbProcedure="false">Lookups!$A$2:$A$3</definedName>
    <definedName function="false" hidden="false" name="DOK" vbProcedure="false">Lookups!$K$2:$K$5</definedName>
    <definedName function="false" hidden="false" name="DoW" vbProcedure="false">Lookups!$Q$2:$Q$8</definedName>
    <definedName function="false" hidden="false" name="Engagement_Type" vbProcedure="false">Lookups!$P$2:$P$12</definedName>
    <definedName function="false" hidden="false" name="Modality" vbProcedure="false">Lookups!$I$2:$I$7</definedName>
    <definedName function="false" hidden="false" name="RSI_Category" vbProcedure="false">Lookups!$L$2:$L$7</definedName>
    <definedName function="false" hidden="false" name="Source" vbProcedure="false">Lookups!$H$2:$H$11</definedName>
    <definedName function="false" hidden="false" name="Status_A11y" vbProcedure="false">Lookups!$F$2:$F$5</definedName>
    <definedName function="false" hidden="false" name="Status_Asset" vbProcedure="false">Lookups!$B$2:$B$8</definedName>
    <definedName function="false" hidden="false" name="Status_Course" vbProcedure="false">Lookups!$C$2:$C$6</definedName>
    <definedName function="false" hidden="false" name="Status_Generic" vbProcedure="false">Lookups!$D$2:$D$6</definedName>
    <definedName function="false" hidden="false" name="Status_QA" vbProcedure="false">Lookups!$E$2:$E$5</definedName>
    <definedName function="false" hidden="false" name="WCAG_Target" vbProcedure="false">Lookups!$M$2:$M$3</definedName>
    <definedName function="false" hidden="false" name="YesNo" vbProcedure="false">Lookups!$N$2:$N$4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<sst xmlns="http://schemas.openxmlformats.org/spreadsheetml/2006/main" count="825" uniqueCount="561">
  <si>
    <t xml:space="preserve">MCAS · MASTER COURSE WORKBOOK</t>
  </si>
  <si>
    <t xml:space="preserve">Master Course Workbook</t>
  </si>
  <si>
    <t xml:space="preserve">A faculty-facing course-architecture tracker. Built to feed the MCAS Master Course Builder.</t>
  </si>
  <si>
    <t xml:space="preserve">How to use this workbook:</t>
  </si>
  <si>
    <t xml:space="preserve">  1. Start on tab 01 Course Information. One row per course you teach.</t>
  </si>
  <si>
    <t xml:space="preserve">  2. Add your course code(s) on the hidden Lookups tab (column 'Courses') so dropdowns work.</t>
  </si>
  <si>
    <t xml:space="preserve">  3. Complete tab 02 Faculty Brand Sheet so AI tools can match your voice and pedagogy.</t>
  </si>
  <si>
    <t xml:space="preserve">  4. Write your Learning Outcomes (tab 03). These anchor everything else.</t>
  </si>
  <si>
    <t xml:space="preserve">  5. Populate tab 04 Asset Capture as you collect videos, readings, tools, rubrics. Paste links.</t>
  </si>
  <si>
    <t xml:space="preserve">  6. Build out modules (06), schedule (05), assessments (07), engagement (08).</t>
  </si>
  <si>
    <t xml:space="preserve">  7. Run accessibility (09), RSI (10), and QA (11) before you launch (12).</t>
  </si>
  <si>
    <t xml:space="preserve">The Course Overview tab gives you a live dashboard: total assets, % with URLs, status counts.</t>
  </si>
  <si>
    <t xml:space="preserve">Conventions you'll see on every tab:</t>
  </si>
  <si>
    <t xml:space="preserve">  · Row 4 is the header row.</t>
  </si>
  <si>
    <t xml:space="preserve">  · Row 5 is a prompt row in tan, telling you what to put in each column.</t>
  </si>
  <si>
    <t xml:space="preserve">  · Row 6 (when present) is an EXAMPLE marked in yellow. Delete it before you start.</t>
  </si>
  <si>
    <t xml:space="preserve">  · Dropdowns are wired from the hidden Lookups tab. Extend the lists there.</t>
  </si>
  <si>
    <t xml:space="preserve">To unhide Lookups: right-click any tab → Unhide → Lookups.</t>
  </si>
  <si>
    <t xml:space="preserve">Designed by MedMasters Collaborative. Use it, fork it, make it yours.</t>
  </si>
  <si>
    <t xml:space="preserve">MCAS · DASHBOARD</t>
  </si>
  <si>
    <t xml:space="preserve">Course Overview</t>
  </si>
  <si>
    <t xml:space="preserve">Live counts pull from your other tabs. Edit data there, not here.</t>
  </si>
  <si>
    <t xml:space="preserve">TOTAL COURSES</t>
  </si>
  <si>
    <t xml:space="preserve">TOTAL ASSETS</t>
  </si>
  <si>
    <t xml:space="preserve">ASSETS WITH URL</t>
  </si>
  <si>
    <t xml:space="preserve">PERCENT WITH URL</t>
  </si>
  <si>
    <t xml:space="preserve">TOTAL OUTCOMES</t>
  </si>
  <si>
    <t xml:space="preserve">TOTAL MODULES</t>
  </si>
  <si>
    <t xml:space="preserve">TOTAL ASSESSMENTS</t>
  </si>
  <si>
    <t xml:space="preserve">RSI ENTRIES</t>
  </si>
  <si>
    <t xml:space="preserve">ASSET STATUS BREAKDOWN</t>
  </si>
  <si>
    <t xml:space="preserve">ACCESSIBILITY STATUS</t>
  </si>
  <si>
    <t xml:space="preserve">Planned</t>
  </si>
  <si>
    <t xml:space="preserve">Pass</t>
  </si>
  <si>
    <t xml:space="preserve">Drafted</t>
  </si>
  <si>
    <t xml:space="preserve">Fail</t>
  </si>
  <si>
    <t xml:space="preserve">In review</t>
  </si>
  <si>
    <t xml:space="preserve">Partial</t>
  </si>
  <si>
    <t xml:space="preserve">Approved</t>
  </si>
  <si>
    <t xml:space="preserve">N/A</t>
  </si>
  <si>
    <t xml:space="preserve">Live</t>
  </si>
  <si>
    <t xml:space="preserve">Needs update</t>
  </si>
  <si>
    <t xml:space="preserve">Retired</t>
  </si>
  <si>
    <t xml:space="preserve">PER-COURSE ROLLUP</t>
  </si>
  <si>
    <t xml:space="preserve">Course Code</t>
  </si>
  <si>
    <t xml:space="preserve">Assets</t>
  </si>
  <si>
    <t xml:space="preserve">With URL</t>
  </si>
  <si>
    <t xml:space="preserve">Outcomes</t>
  </si>
  <si>
    <t xml:space="preserve">Modules</t>
  </si>
  <si>
    <t xml:space="preserve">Assessments</t>
  </si>
  <si>
    <t xml:space="preserve">RSI</t>
  </si>
  <si>
    <t xml:space="preserve">TAB 01 · START HERE</t>
  </si>
  <si>
    <t xml:space="preserve">Course Information</t>
  </si>
  <si>
    <t xml:space="preserve">One row per course. The dashboard, dropdowns, and reports all key off the Course Code you enter here.</t>
  </si>
  <si>
    <t xml:space="preserve">Course ID</t>
  </si>
  <si>
    <t xml:space="preserve">Course Title</t>
  </si>
  <si>
    <t xml:space="preserve">Institution</t>
  </si>
  <si>
    <t xml:space="preserve">Term</t>
  </si>
  <si>
    <t xml:space="preserve">Modality</t>
  </si>
  <si>
    <t xml:space="preserve">Delivery Notes</t>
  </si>
  <si>
    <t xml:space="preserve">Credit Hours</t>
  </si>
  <si>
    <t xml:space="preserve">Enrollment Cap</t>
  </si>
  <si>
    <t xml:space="preserve">Start Date</t>
  </si>
  <si>
    <t xml:space="preserve">End Date</t>
  </si>
  <si>
    <t xml:space="preserve">LMS Shell URL</t>
  </si>
  <si>
    <t xml:space="preserve">Public Site / Kajabi URL</t>
  </si>
  <si>
    <t xml:space="preserve">Repository</t>
  </si>
  <si>
    <t xml:space="preserve">Course Description</t>
  </si>
  <si>
    <t xml:space="preserve">Status</t>
  </si>
  <si>
    <t xml:space="preserve">Last Updated</t>
  </si>
  <si>
    <t xml:space="preserve">Owner / Instructor</t>
  </si>
  <si>
    <t xml:space="preserve">Auto. C01, C02… or your own scheme</t>
  </si>
  <si>
    <t xml:space="preserve">e.g., BIO 304, NURS 210, HIST 101</t>
  </si>
  <si>
    <t xml:space="preserve">Full course title as it appears in catalog</t>
  </si>
  <si>
    <t xml:space="preserve">College / university name</t>
  </si>
  <si>
    <t xml:space="preserve">e.g., Fall 2026, Summer 2026, 8-Week B</t>
  </si>
  <si>
    <t xml:space="preserve">Pick from list</t>
  </si>
  <si>
    <t xml:space="preserve">Free text. TBL? Hybrid pattern? Sync hours?</t>
  </si>
  <si>
    <t xml:space="preserve">Number</t>
  </si>
  <si>
    <t xml:space="preserve">Max students</t>
  </si>
  <si>
    <t xml:space="preserve">YYYY-MM-DD</t>
  </si>
  <si>
    <t xml:space="preserve">Canvas / Blackboard / Moodle URL</t>
  </si>
  <si>
    <t xml:space="preserve">If you publish externally</t>
  </si>
  <si>
    <t xml:space="preserve">GitHub or Google Drive root</t>
  </si>
  <si>
    <t xml:space="preserve">1–2 sentence catalog description</t>
  </si>
  <si>
    <t xml:space="preserve">Your name as it appears to students</t>
  </si>
  <si>
    <t xml:space="preserve">C01</t>
  </si>
  <si>
    <t xml:space="preserve">COURSE 101</t>
  </si>
  <si>
    <t xml:space="preserve">Example Course Title</t>
  </si>
  <si>
    <t xml:space="preserve">Your College</t>
  </si>
  <si>
    <t xml:space="preserve">Fall 2026</t>
  </si>
  <si>
    <t xml:space="preserve">In-person</t>
  </si>
  <si>
    <t xml:space="preserve">Delete this row after reading. Example only.</t>
  </si>
  <si>
    <t xml:space="preserve">3</t>
  </si>
  <si>
    <t xml:space="preserve">30</t>
  </si>
  <si>
    <t xml:space="preserve">2026-08-25</t>
  </si>
  <si>
    <t xml:space="preserve">2026-12-15</t>
  </si>
  <si>
    <t xml:space="preserve">Short description here.</t>
  </si>
  <si>
    <t xml:space="preserve">Active</t>
  </si>
  <si>
    <t xml:space="preserve">2026-05-29</t>
  </si>
  <si>
    <t xml:space="preserve">Faculty Name</t>
  </si>
  <si>
    <t xml:space="preserve">TAB 02</t>
  </si>
  <si>
    <t xml:space="preserve">Faculty Brand Sheet</t>
  </si>
  <si>
    <t xml:space="preserve">Your instructional DNA. Claude (or any AI collaborator) reads this to match your voice and pedagogy when generating materials.</t>
  </si>
  <si>
    <t xml:space="preserve">Section</t>
  </si>
  <si>
    <t xml:space="preserve">Field</t>
  </si>
  <si>
    <t xml:space="preserve">Your Answer</t>
  </si>
  <si>
    <t xml:space="preserve">Notes / Examples</t>
  </si>
  <si>
    <t xml:space="preserve">Locked. Do not edit.</t>
  </si>
  <si>
    <t xml:space="preserve">Type your answer here.</t>
  </si>
  <si>
    <t xml:space="preserve">Optional. Add references or constraints.</t>
  </si>
  <si>
    <t xml:space="preserve">1 Faculty Identity</t>
  </si>
  <si>
    <t xml:space="preserve">Faculty name</t>
  </si>
  <si>
    <t xml:space="preserve">Name as you want it to appear in student-facing materials</t>
  </si>
  <si>
    <t xml:space="preserve">Credentials (internal use only)</t>
  </si>
  <si>
    <t xml:space="preserve">Your degrees/licenses. Internal only. Not auto-appended to student copy.</t>
  </si>
  <si>
    <t xml:space="preserve">Discipline</t>
  </si>
  <si>
    <t xml:space="preserve">e.g., Anatomy, Statistics, Composition</t>
  </si>
  <si>
    <t xml:space="preserve">Institution type</t>
  </si>
  <si>
    <t xml:space="preserve">Community college / 4-year / Graduate / Other</t>
  </si>
  <si>
    <t xml:space="preserve">Years teaching</t>
  </si>
  <si>
    <t xml:space="preserve">Clinical or professional experience</t>
  </si>
  <si>
    <t xml:space="preserve">Years in industry, practice, or research</t>
  </si>
  <si>
    <t xml:space="preserve">Areas of expertise</t>
  </si>
  <si>
    <t xml:space="preserve">Comma-separated</t>
  </si>
  <si>
    <t xml:space="preserve">2 Teaching Philosophy</t>
  </si>
  <si>
    <t xml:space="preserve">What do you believe about learning?</t>
  </si>
  <si>
    <t xml:space="preserve">One paragraph</t>
  </si>
  <si>
    <t xml:space="preserve">What should students experience in your course?</t>
  </si>
  <si>
    <t xml:space="preserve">What frustrates you about traditional teaching?</t>
  </si>
  <si>
    <t xml:space="preserve">What does student success look like?</t>
  </si>
  <si>
    <t xml:space="preserve">3 Student Population</t>
  </si>
  <si>
    <t xml:space="preserve">Student type</t>
  </si>
  <si>
    <t xml:space="preserve">e.g., pre-nursing, gen-ed, majors</t>
  </si>
  <si>
    <t xml:space="preserve">Academic level</t>
  </si>
  <si>
    <t xml:space="preserve">First-year / transfer / graduate</t>
  </si>
  <si>
    <t xml:space="preserve">Prerequisites</t>
  </si>
  <si>
    <t xml:space="preserve">List required coursework</t>
  </si>
  <si>
    <t xml:space="preserve">Common challenges</t>
  </si>
  <si>
    <t xml:space="preserve">What do students typically struggle with?</t>
  </si>
  <si>
    <t xml:space="preserve">Career goals</t>
  </si>
  <si>
    <t xml:space="preserve">Where do they go after this course?</t>
  </si>
  <si>
    <t xml:space="preserve">4 Course Design</t>
  </si>
  <si>
    <t xml:space="preserve">Preferred pedagogy</t>
  </si>
  <si>
    <t xml:space="preserve">TBL, Case-Based, Flipped, Lecture, Mastery, etc.</t>
  </si>
  <si>
    <t xml:space="preserve">Preferred weekly rhythm</t>
  </si>
  <si>
    <t xml:space="preserve">e.g., M/W/F lecture, T/Th lab</t>
  </si>
  <si>
    <t xml:space="preserve">Preferred learning activities</t>
  </si>
  <si>
    <t xml:space="preserve">Top 3</t>
  </si>
  <si>
    <t xml:space="preserve">5 Content Preferences</t>
  </si>
  <si>
    <t xml:space="preserve">Level of detail</t>
  </si>
  <si>
    <t xml:space="preserve">Survey / standard / deep dive</t>
  </si>
  <si>
    <t xml:space="preserve">Use of clinical/real-world correlations</t>
  </si>
  <si>
    <t xml:space="preserve">Use of visuals</t>
  </si>
  <si>
    <t xml:space="preserve">High / moderate / low. Any specific style?</t>
  </si>
  <si>
    <t xml:space="preserve">Use of storytelling</t>
  </si>
  <si>
    <t xml:space="preserve">Use of examples</t>
  </si>
  <si>
    <t xml:space="preserve">6 Assessment</t>
  </si>
  <si>
    <t xml:space="preserve">What should assessments measure?</t>
  </si>
  <si>
    <t xml:space="preserve">Preferred assessment types</t>
  </si>
  <si>
    <t xml:space="preserve">Quiz, project, drawing, RAT, etc.</t>
  </si>
  <si>
    <t xml:space="preserve">AI-resistant strategies</t>
  </si>
  <si>
    <t xml:space="preserve">e.g., in-class drawing, oral defense</t>
  </si>
  <si>
    <t xml:space="preserve">Authentic assessment preferences</t>
  </si>
  <si>
    <t xml:space="preserve">7 Communication</t>
  </si>
  <si>
    <t xml:space="preserve">Tone</t>
  </si>
  <si>
    <t xml:space="preserve">Warm / formal / direct / playful</t>
  </si>
  <si>
    <t xml:space="preserve">Formality level</t>
  </si>
  <si>
    <t xml:space="preserve">Feedback style</t>
  </si>
  <si>
    <t xml:space="preserve">Brief / detailed / rubric-anchored</t>
  </si>
  <si>
    <t xml:space="preserve">Student support style</t>
  </si>
  <si>
    <t xml:space="preserve">Office-hours model, response time, etc.</t>
  </si>
  <si>
    <t xml:space="preserve">8 Visual Style</t>
  </si>
  <si>
    <t xml:space="preserve">Color preferences</t>
  </si>
  <si>
    <t xml:space="preserve">Hex codes or palette name</t>
  </si>
  <si>
    <t xml:space="preserve">Typography preferences</t>
  </si>
  <si>
    <t xml:space="preserve">Display + body fonts</t>
  </si>
  <si>
    <t xml:space="preserve">Layout preferences</t>
  </si>
  <si>
    <t xml:space="preserve">Image preferences</t>
  </si>
  <si>
    <t xml:space="preserve">Photo / illustration / diagram</t>
  </si>
  <si>
    <t xml:space="preserve">Branding requirements</t>
  </si>
  <si>
    <t xml:space="preserve">Logo, byline, do-not-use list</t>
  </si>
  <si>
    <t xml:space="preserve">9 Accessibility</t>
  </si>
  <si>
    <t xml:space="preserve">WCAG target</t>
  </si>
  <si>
    <t xml:space="preserve">AA (floor) or AAA (where achievable)</t>
  </si>
  <si>
    <t xml:space="preserve">Captioning requirements</t>
  </si>
  <si>
    <t xml:space="preserve">All video captioned? Transcripts?</t>
  </si>
  <si>
    <t xml:space="preserve">Document standards</t>
  </si>
  <si>
    <t xml:space="preserve">Heading hierarchy, alt text, semantic HTML</t>
  </si>
  <si>
    <t xml:space="preserve">Accessibility priorities</t>
  </si>
  <si>
    <t xml:space="preserve">Keyboard, screen reader, contrast</t>
  </si>
  <si>
    <t xml:space="preserve">RSI expectations</t>
  </si>
  <si>
    <t xml:space="preserve">Async or sync presence cadence</t>
  </si>
  <si>
    <t xml:space="preserve">10 AI Collaboration</t>
  </si>
  <si>
    <t xml:space="preserve">Always do</t>
  </si>
  <si>
    <t xml:space="preserve">Hard rules for AI-generated content</t>
  </si>
  <si>
    <t xml:space="preserve">Never do</t>
  </si>
  <si>
    <t xml:space="preserve">Words, em dashes, colors, claims to avoid</t>
  </si>
  <si>
    <t xml:space="preserve">Preferred sources</t>
  </si>
  <si>
    <t xml:space="preserve">Textbooks, journals, databases</t>
  </si>
  <si>
    <t xml:space="preserve">Output expectations</t>
  </si>
  <si>
    <t xml:space="preserve">File formats, naming, ready-to-ship?</t>
  </si>
  <si>
    <t xml:space="preserve">TAB 03</t>
  </si>
  <si>
    <t xml:space="preserve">Learning Outcomes</t>
  </si>
  <si>
    <t xml:space="preserve">Anchor everything else. Each outcome gets an ID you'll reference in Modules, Assessments, and Assets.</t>
  </si>
  <si>
    <t xml:space="preserve">Outcome ID</t>
  </si>
  <si>
    <t xml:space="preserve">Module/Unit</t>
  </si>
  <si>
    <t xml:space="preserve">Outcome Statement</t>
  </si>
  <si>
    <t xml:space="preserve">Bloom Level</t>
  </si>
  <si>
    <t xml:space="preserve">DOK Level</t>
  </si>
  <si>
    <t xml:space="preserve">Aligned Assessment IDs</t>
  </si>
  <si>
    <t xml:space="preserve">Aligned Module IDs</t>
  </si>
  <si>
    <t xml:space="preserve">Notes</t>
  </si>
  <si>
    <t xml:space="preserve">LO01, LO02… or course-prefixed (BIO304-LO01)</t>
  </si>
  <si>
    <t xml:space="preserve">Where the outcome lives</t>
  </si>
  <si>
    <t xml:space="preserve">'Students will be able to…' (one verb, one object)</t>
  </si>
  <si>
    <t xml:space="preserve">Comma-separated assessment IDs</t>
  </si>
  <si>
    <t xml:space="preserve">Comma-separated module IDs</t>
  </si>
  <si>
    <t xml:space="preserve">Anything that doesn't fit elsewhere</t>
  </si>
  <si>
    <t xml:space="preserve">LO01</t>
  </si>
  <si>
    <t xml:space="preserve">Module 1</t>
  </si>
  <si>
    <t xml:space="preserve">Students will identify the four phases of mitosis.</t>
  </si>
  <si>
    <t xml:space="preserve">Remember</t>
  </si>
  <si>
    <t xml:space="preserve">1</t>
  </si>
  <si>
    <t xml:space="preserve">A01</t>
  </si>
  <si>
    <t xml:space="preserve">M01</t>
  </si>
  <si>
    <t xml:space="preserve">In progress</t>
  </si>
  <si>
    <t xml:space="preserve">Example only. Delete.</t>
  </si>
  <si>
    <t xml:space="preserve">TAB 04 · LINK LIBRARY</t>
  </si>
  <si>
    <t xml:space="preserve">Asset Capture — Master Link &amp; Material Library</t>
  </si>
  <si>
    <t xml:space="preserve">Every video, reading, tool, slide deck, rubric, simulator. One row per asset. The dashboard counts here.</t>
  </si>
  <si>
    <t xml:space="preserve">Asset ID</t>
  </si>
  <si>
    <t xml:space="preserve">Module</t>
  </si>
  <si>
    <t xml:space="preserve">Week</t>
  </si>
  <si>
    <t xml:space="preserve">Asset Type</t>
  </si>
  <si>
    <t xml:space="preserve">Title</t>
  </si>
  <si>
    <t xml:space="preserve">URL / Path</t>
  </si>
  <si>
    <t xml:space="preserve">Source</t>
  </si>
  <si>
    <t xml:space="preserve">Repo Path</t>
  </si>
  <si>
    <t xml:space="preserve">Live URL</t>
  </si>
  <si>
    <t xml:space="preserve">File Format</t>
  </si>
  <si>
    <t xml:space="preserve">Outcome IDs</t>
  </si>
  <si>
    <t xml:space="preserve">Assessment IDs</t>
  </si>
  <si>
    <t xml:space="preserve">RSI Tag</t>
  </si>
  <si>
    <t xml:space="preserve">Accessibility Status</t>
  </si>
  <si>
    <t xml:space="preserve">WCAG Audit Date</t>
  </si>
  <si>
    <t xml:space="preserve">iframe Height-Sender</t>
  </si>
  <si>
    <t xml:space="preserve">target=_top Confirmed</t>
  </si>
  <si>
    <t xml:space="preserve">Owner</t>
  </si>
  <si>
    <t xml:space="preserve">Date Added</t>
  </si>
  <si>
    <t xml:space="preserve">Last Reviewed</t>
  </si>
  <si>
    <t xml:space="preserve">A001, A002… auto-increment</t>
  </si>
  <si>
    <t xml:space="preserve">Module ID or name</t>
  </si>
  <si>
    <t xml:space="preserve">Week number</t>
  </si>
  <si>
    <t xml:space="preserve">Display title (what students see)</t>
  </si>
  <si>
    <t xml:space="preserve">PASTE LINK HERE</t>
  </si>
  <si>
    <t xml:space="preserve">Pick from list (where it lives)</t>
  </si>
  <si>
    <t xml:space="preserve">If in a repo: path/from/root.html</t>
  </si>
  <si>
    <t xml:space="preserve">Public URL if different from URL/Path</t>
  </si>
  <si>
    <t xml:space="preserve">mp4, pdf, html, docx, etc.</t>
  </si>
  <si>
    <t xml:space="preserve">Comma-separated outcome IDs</t>
  </si>
  <si>
    <t xml:space="preserve">Yes/No/N/A (HTML embeds only)</t>
  </si>
  <si>
    <t xml:space="preserve">Who built/owns it</t>
  </si>
  <si>
    <t xml:space="preserve">Free text</t>
  </si>
  <si>
    <t xml:space="preserve">A001</t>
  </si>
  <si>
    <t xml:space="preserve">Video</t>
  </si>
  <si>
    <t xml:space="preserve">Intro to the cell</t>
  </si>
  <si>
    <t xml:space="preserve">https://example.com/intro-cell</t>
  </si>
  <si>
    <t xml:space="preserve">External</t>
  </si>
  <si>
    <t xml:space="preserve">mp4</t>
  </si>
  <si>
    <t xml:space="preserve">2</t>
  </si>
  <si>
    <t xml:space="preserve">Direct Instruction</t>
  </si>
  <si>
    <t xml:space="preserve">Faculty</t>
  </si>
  <si>
    <t xml:space="preserve">TAB 05</t>
  </si>
  <si>
    <t xml:space="preserve">Schedule &amp; Pacing</t>
  </si>
  <si>
    <t xml:space="preserve">One row per session or pre-work block. Pair with Module Builder to anchor week-by-week flow.</t>
  </si>
  <si>
    <t xml:space="preserve">Date</t>
  </si>
  <si>
    <t xml:space="preserve">Day of Week</t>
  </si>
  <si>
    <t xml:space="preserve">Topics</t>
  </si>
  <si>
    <t xml:space="preserve">Sync/Async</t>
  </si>
  <si>
    <t xml:space="preserve">Contact Hours</t>
  </si>
  <si>
    <t xml:space="preserve">Pre-Class Asset IDs</t>
  </si>
  <si>
    <t xml:space="preserve">In-Class Activity IDs</t>
  </si>
  <si>
    <t xml:space="preserve">Post-Class Asset IDs</t>
  </si>
  <si>
    <t xml:space="preserve">Deliverables Due</t>
  </si>
  <si>
    <t xml:space="preserve">Mon/Tue/Wed/Thu/Fri/Sat/Sun</t>
  </si>
  <si>
    <t xml:space="preserve">Comma-separated topic titles</t>
  </si>
  <si>
    <t xml:space="preserve">Hours of student contact</t>
  </si>
  <si>
    <t xml:space="preserve">Asset IDs students do before class</t>
  </si>
  <si>
    <t xml:space="preserve">Asset IDs used live</t>
  </si>
  <si>
    <t xml:space="preserve">Asset IDs assigned after</t>
  </si>
  <si>
    <t xml:space="preserve">What's due that day</t>
  </si>
  <si>
    <t xml:space="preserve">Mon</t>
  </si>
  <si>
    <t xml:space="preserve">Levels of organization</t>
  </si>
  <si>
    <t xml:space="preserve">1.5</t>
  </si>
  <si>
    <t xml:space="preserve">Reading reflection</t>
  </si>
  <si>
    <t xml:space="preserve">TAB 06</t>
  </si>
  <si>
    <t xml:space="preserve">Module Builder</t>
  </si>
  <si>
    <t xml:space="preserve">The structural unit. Each module ties outcomes, assets, activities, and assessments together.</t>
  </si>
  <si>
    <t xml:space="preserve">Module ID</t>
  </si>
  <si>
    <t xml:space="preserve">Module Title</t>
  </si>
  <si>
    <t xml:space="preserve">Sequence #</t>
  </si>
  <si>
    <t xml:space="preserve">RSI Touchpoints</t>
  </si>
  <si>
    <t xml:space="preserve">Engagement Tactics</t>
  </si>
  <si>
    <t xml:space="preserve">Estimated Hours</t>
  </si>
  <si>
    <t xml:space="preserve">M01, M02…</t>
  </si>
  <si>
    <t xml:space="preserve">What this module is about</t>
  </si>
  <si>
    <t xml:space="preserve">1, 2, 3…</t>
  </si>
  <si>
    <t xml:space="preserve">Asset IDs</t>
  </si>
  <si>
    <t xml:space="preserve">Asset IDs (live class)</t>
  </si>
  <si>
    <t xml:space="preserve">Asset IDs (after class)</t>
  </si>
  <si>
    <t xml:space="preserve">Comma-separated RSI categories</t>
  </si>
  <si>
    <t xml:space="preserve">Comma-separated engagement tactics</t>
  </si>
  <si>
    <t xml:space="preserve">Total student time</t>
  </si>
  <si>
    <t xml:space="preserve">Foundations</t>
  </si>
  <si>
    <t xml:space="preserve">Direct Instruction, Feedback</t>
  </si>
  <si>
    <t xml:space="preserve">Active learning</t>
  </si>
  <si>
    <t xml:space="preserve">TAB 07</t>
  </si>
  <si>
    <t xml:space="preserve">Every graded touchpoint. Tag each one with the outcomes it measures and its AI-resistance strategy.</t>
  </si>
  <si>
    <t xml:space="preserve">Assessment ID</t>
  </si>
  <si>
    <t xml:space="preserve">Assessment Type</t>
  </si>
  <si>
    <t xml:space="preserve">Weight (%)</t>
  </si>
  <si>
    <t xml:space="preserve">AI-Resistant Strategy</t>
  </si>
  <si>
    <t xml:space="preserve">Rubric URL</t>
  </si>
  <si>
    <t xml:space="preserve">Due Window</t>
  </si>
  <si>
    <t xml:space="preserve">A01, A02…</t>
  </si>
  <si>
    <t xml:space="preserve">What students see</t>
  </si>
  <si>
    <t xml:space="preserve">0–100</t>
  </si>
  <si>
    <t xml:space="preserve">How you'll keep it authentic (in-class, drawing, oral, etc.)</t>
  </si>
  <si>
    <t xml:space="preserve">Link to rubric</t>
  </si>
  <si>
    <t xml:space="preserve">When it opens/closes</t>
  </si>
  <si>
    <t xml:space="preserve">Faculty member</t>
  </si>
  <si>
    <t xml:space="preserve">Quiz</t>
  </si>
  <si>
    <t xml:space="preserve">Module 1 readiness check</t>
  </si>
  <si>
    <t xml:space="preserve">5</t>
  </si>
  <si>
    <t xml:space="preserve">Proctored in-class</t>
  </si>
  <si>
    <t xml:space="preserve">Week 1</t>
  </si>
  <si>
    <t xml:space="preserve">TAB 08</t>
  </si>
  <si>
    <t xml:space="preserve">Engagement Strategy</t>
  </si>
  <si>
    <t xml:space="preserve">Tactics that pull students into the material. Tie them to specific modules and outcomes.</t>
  </si>
  <si>
    <t xml:space="preserve">Engagement ID</t>
  </si>
  <si>
    <t xml:space="preserve">Tactic</t>
  </si>
  <si>
    <t xml:space="preserve">Type</t>
  </si>
  <si>
    <t xml:space="preserve">Frequency</t>
  </si>
  <si>
    <t xml:space="preserve">Evidence URL</t>
  </si>
  <si>
    <t xml:space="preserve">Outcome Tie-In</t>
  </si>
  <si>
    <t xml:space="preserve">E01, E02…</t>
  </si>
  <si>
    <t xml:space="preserve">Name the tactic</t>
  </si>
  <si>
    <t xml:space="preserve">Per session / weekly / one-time</t>
  </si>
  <si>
    <t xml:space="preserve">Tool/asset ID if any</t>
  </si>
  <si>
    <t xml:space="preserve">Where evidence lives</t>
  </si>
  <si>
    <t xml:space="preserve">Outcome ID(s)</t>
  </si>
  <si>
    <t xml:space="preserve">E01</t>
  </si>
  <si>
    <t xml:space="preserve">Think-pair-share on case</t>
  </si>
  <si>
    <t xml:space="preserve">Per session</t>
  </si>
  <si>
    <t xml:space="preserve">TAB 09</t>
  </si>
  <si>
    <t xml:space="preserve">Accessibility — WCAG 2.2 Audit</t>
  </si>
  <si>
    <t xml:space="preserve">One row per criterion checked, per asset. Aim for AA floor, AAA where achievable.</t>
  </si>
  <si>
    <t xml:space="preserve">Audit ID</t>
  </si>
  <si>
    <t xml:space="preserve">File / Page</t>
  </si>
  <si>
    <t xml:space="preserve">WCAG Criterion</t>
  </si>
  <si>
    <t xml:space="preserve">Target Level</t>
  </si>
  <si>
    <t xml:space="preserve">Contrast Pair</t>
  </si>
  <si>
    <t xml:space="preserve">Contrast Ratio</t>
  </si>
  <si>
    <t xml:space="preserve">Keyboard Verified</t>
  </si>
  <si>
    <t xml:space="preserve">Screen Reader Verified</t>
  </si>
  <si>
    <t xml:space="preserve">Captions</t>
  </si>
  <si>
    <t xml:space="preserve">Alt Text</t>
  </si>
  <si>
    <t xml:space="preserve">Headings</t>
  </si>
  <si>
    <t xml:space="preserve">Audit Date</t>
  </si>
  <si>
    <t xml:space="preserve">Reviewer</t>
  </si>
  <si>
    <t xml:space="preserve">Remediation Plan</t>
  </si>
  <si>
    <t xml:space="preserve">AU001…</t>
  </si>
  <si>
    <t xml:space="preserve">File name or URL</t>
  </si>
  <si>
    <t xml:space="preserve">e.g., 1.4.3 Contrast</t>
  </si>
  <si>
    <t xml:space="preserve">e.g., navy on white</t>
  </si>
  <si>
    <t xml:space="preserve">e.g., 7.2:1</t>
  </si>
  <si>
    <t xml:space="preserve">Reviewer name</t>
  </si>
  <si>
    <t xml:space="preserve">What needs fixing and by when</t>
  </si>
  <si>
    <t xml:space="preserve">AU001</t>
  </si>
  <si>
    <t xml:space="preserve">intro-cell.html</t>
  </si>
  <si>
    <t xml:space="preserve">1.4.3 Contrast</t>
  </si>
  <si>
    <t xml:space="preserve">AA</t>
  </si>
  <si>
    <t xml:space="preserve">navy on off-white</t>
  </si>
  <si>
    <t xml:space="preserve">7.2:1</t>
  </si>
  <si>
    <t xml:space="preserve">Yes</t>
  </si>
  <si>
    <t xml:space="preserve">TAB 10</t>
  </si>
  <si>
    <t xml:space="preserve">Regular &amp; Substantive Interaction (RSI)</t>
  </si>
  <si>
    <t xml:space="preserve">Evidence that the instructor is regularly and substantively present. Required for online and async modalities.</t>
  </si>
  <si>
    <t xml:space="preserve">RSI ID</t>
  </si>
  <si>
    <t xml:space="preserve">RSI Category</t>
  </si>
  <si>
    <t xml:space="preserve">Activity</t>
  </si>
  <si>
    <t xml:space="preserve">R001…</t>
  </si>
  <si>
    <t xml:space="preserve">Week #</t>
  </si>
  <si>
    <t xml:space="preserve">What you do</t>
  </si>
  <si>
    <t xml:space="preserve">Daily / weekly / per-module</t>
  </si>
  <si>
    <t xml:space="preserve">Link to evidence</t>
  </si>
  <si>
    <t xml:space="preserve">Who runs it</t>
  </si>
  <si>
    <t xml:space="preserve">R001</t>
  </si>
  <si>
    <t xml:space="preserve">Instructor Presence</t>
  </si>
  <si>
    <t xml:space="preserve">Weekly check-in announcement</t>
  </si>
  <si>
    <t xml:space="preserve">Weekly</t>
  </si>
  <si>
    <t xml:space="preserve">TAB 11</t>
  </si>
  <si>
    <t xml:space="preserve">Quality Assurance</t>
  </si>
  <si>
    <t xml:space="preserve">Pre-launch checklist. Each row is a check you've run against a course or asset.</t>
  </si>
  <si>
    <t xml:space="preserve">QA ID</t>
  </si>
  <si>
    <t xml:space="preserve">Check</t>
  </si>
  <si>
    <t xml:space="preserve">Standard</t>
  </si>
  <si>
    <t xml:space="preserve">Issue Found</t>
  </si>
  <si>
    <t xml:space="preserve">Resolution</t>
  </si>
  <si>
    <t xml:space="preserve">QA001…</t>
  </si>
  <si>
    <t xml:space="preserve">Asset ID if applicable</t>
  </si>
  <si>
    <t xml:space="preserve">What you checked</t>
  </si>
  <si>
    <t xml:space="preserve">What 'pass' looks like</t>
  </si>
  <si>
    <t xml:space="preserve">If failed: what's wrong</t>
  </si>
  <si>
    <t xml:space="preserve">If failed: what's the fix</t>
  </si>
  <si>
    <t xml:space="preserve">QA001</t>
  </si>
  <si>
    <t xml:space="preserve">Outcome alignment</t>
  </si>
  <si>
    <t xml:space="preserve">Every asset maps to ≥1 outcome</t>
  </si>
  <si>
    <t xml:space="preserve">QA002</t>
  </si>
  <si>
    <t xml:space="preserve">Brand alignment</t>
  </si>
  <si>
    <t xml:space="preserve">Colors, fonts, tone match Brand Sheet</t>
  </si>
  <si>
    <t xml:space="preserve">QA003</t>
  </si>
  <si>
    <t xml:space="preserve">Accessibility audit</t>
  </si>
  <si>
    <t xml:space="preserve">All WCAG criteria on tab 09 marked Pass or Waived</t>
  </si>
  <si>
    <t xml:space="preserve">QA004</t>
  </si>
  <si>
    <t xml:space="preserve">Link health</t>
  </si>
  <si>
    <t xml:space="preserve">Every URL in Asset Capture returns 200</t>
  </si>
  <si>
    <t xml:space="preserve">QA005</t>
  </si>
  <si>
    <t xml:space="preserve">Outcome coverage</t>
  </si>
  <si>
    <t xml:space="preserve">Every outcome has ≥1 asset + ≥1 assessment</t>
  </si>
  <si>
    <t xml:space="preserve">QA006</t>
  </si>
  <si>
    <t xml:space="preserve">RSI evidence</t>
  </si>
  <si>
    <t xml:space="preserve">≥1 RSI entry per module</t>
  </si>
  <si>
    <t xml:space="preserve">QA007</t>
  </si>
  <si>
    <t xml:space="preserve">Embed readiness</t>
  </si>
  <si>
    <t xml:space="preserve">HTML embeds tested in LMS iframe</t>
  </si>
  <si>
    <t xml:space="preserve">QA008</t>
  </si>
  <si>
    <t xml:space="preserve">Compliance notes filed</t>
  </si>
  <si>
    <t xml:space="preserve">compliance-notes.md saved in project folder</t>
  </si>
  <si>
    <t xml:space="preserve">TAB 12</t>
  </si>
  <si>
    <t xml:space="preserve">Launch Readiness</t>
  </si>
  <si>
    <t xml:space="preserve">Final mile. Sign-offs and dry-run before students arrive.</t>
  </si>
  <si>
    <t xml:space="preserve">Task ID</t>
  </si>
  <si>
    <t xml:space="preserve">Task</t>
  </si>
  <si>
    <t xml:space="preserve">Due Date</t>
  </si>
  <si>
    <t xml:space="preserve">Dependencies</t>
  </si>
  <si>
    <t xml:space="preserve">Evidence / URL</t>
  </si>
  <si>
    <t xml:space="preserve">L001…</t>
  </si>
  <si>
    <t xml:space="preserve">What needs to happen</t>
  </si>
  <si>
    <t xml:space="preserve">Who owns it</t>
  </si>
  <si>
    <t xml:space="preserve">Task IDs that must finish first</t>
  </si>
  <si>
    <t xml:space="preserve">Link to proof</t>
  </si>
  <si>
    <t xml:space="preserve">L001</t>
  </si>
  <si>
    <t xml:space="preserve">Course blueprint signed off</t>
  </si>
  <si>
    <t xml:space="preserve">L002</t>
  </si>
  <si>
    <t xml:space="preserve">Faculty Brand Sheet locked</t>
  </si>
  <si>
    <t xml:space="preserve">L003</t>
  </si>
  <si>
    <t xml:space="preserve">All outcomes mapped to assets + assessments</t>
  </si>
  <si>
    <t xml:space="preserve">L004</t>
  </si>
  <si>
    <t xml:space="preserve">Accessibility audit passed</t>
  </si>
  <si>
    <t xml:space="preserve">L005</t>
  </si>
  <si>
    <t xml:space="preserve">RSI evidence matrix complete</t>
  </si>
  <si>
    <t xml:space="preserve">L006</t>
  </si>
  <si>
    <t xml:space="preserve">L007</t>
  </si>
  <si>
    <t xml:space="preserve">LMS shell populated</t>
  </si>
  <si>
    <t xml:space="preserve">L008</t>
  </si>
  <si>
    <t xml:space="preserve">Embeds tested in LMS</t>
  </si>
  <si>
    <t xml:space="preserve">L009</t>
  </si>
  <si>
    <t xml:space="preserve">Syllabus byline + contact info reviewed</t>
  </si>
  <si>
    <t xml:space="preserve">L010</t>
  </si>
  <si>
    <t xml:space="preserve">Launch dry-run completed</t>
  </si>
  <si>
    <t xml:space="preserve">Courses</t>
  </si>
  <si>
    <t xml:space="preserve">Status_Asset</t>
  </si>
  <si>
    <t xml:space="preserve">Status_Course</t>
  </si>
  <si>
    <t xml:space="preserve">Status_Generic</t>
  </si>
  <si>
    <t xml:space="preserve">Status_QA</t>
  </si>
  <si>
    <t xml:space="preserve">Status_A11y</t>
  </si>
  <si>
    <t xml:space="preserve">Asset_Type</t>
  </si>
  <si>
    <t xml:space="preserve">Bloom</t>
  </si>
  <si>
    <t xml:space="preserve">DOK</t>
  </si>
  <si>
    <t xml:space="preserve">RSI_Category</t>
  </si>
  <si>
    <t xml:space="preserve">WCAG_Target</t>
  </si>
  <si>
    <t xml:space="preserve">YesNo</t>
  </si>
  <si>
    <t xml:space="preserve">Assessment_Type</t>
  </si>
  <si>
    <t xml:space="preserve">Engagement_Type</t>
  </si>
  <si>
    <t xml:space="preserve">DoW</t>
  </si>
  <si>
    <t xml:space="preserve">Not started</t>
  </si>
  <si>
    <t xml:space="preserve">Pending</t>
  </si>
  <si>
    <t xml:space="preserve">LMS-hosted</t>
  </si>
  <si>
    <t xml:space="preserve">COURSE 102</t>
  </si>
  <si>
    <t xml:space="preserve">Drafting</t>
  </si>
  <si>
    <t xml:space="preserve">Reading</t>
  </si>
  <si>
    <t xml:space="preserve">GitHub Pages</t>
  </si>
  <si>
    <t xml:space="preserve">Online</t>
  </si>
  <si>
    <t xml:space="preserve">Understand</t>
  </si>
  <si>
    <t xml:space="preserve">AAA</t>
  </si>
  <si>
    <t xml:space="preserve">No</t>
  </si>
  <si>
    <t xml:space="preserve">Test</t>
  </si>
  <si>
    <t xml:space="preserve">Drawing-based</t>
  </si>
  <si>
    <t xml:space="preserve">Tue</t>
  </si>
  <si>
    <t xml:space="preserve">Skeleton</t>
  </si>
  <si>
    <t xml:space="preserve">Blocked</t>
  </si>
  <si>
    <t xml:space="preserve">Slide deck</t>
  </si>
  <si>
    <t xml:space="preserve">Public site</t>
  </si>
  <si>
    <t xml:space="preserve">Hybrid</t>
  </si>
  <si>
    <t xml:space="preserve">Apply</t>
  </si>
  <si>
    <t xml:space="preserve">Guided Facilitation</t>
  </si>
  <si>
    <t xml:space="preserve">Midterm</t>
  </si>
  <si>
    <t xml:space="preserve">Case study</t>
  </si>
  <si>
    <t xml:space="preserve">Wed</t>
  </si>
  <si>
    <t xml:space="preserve">Paused</t>
  </si>
  <si>
    <t xml:space="preserve">Complete</t>
  </si>
  <si>
    <t xml:space="preserve">Waived</t>
  </si>
  <si>
    <t xml:space="preserve">Worksheet</t>
  </si>
  <si>
    <t xml:space="preserve">YouTube</t>
  </si>
  <si>
    <t xml:space="preserve">HyFlex</t>
  </si>
  <si>
    <t xml:space="preserve">Analyze</t>
  </si>
  <si>
    <t xml:space="preserve">4</t>
  </si>
  <si>
    <t xml:space="preserve">Feedback</t>
  </si>
  <si>
    <t xml:space="preserve">Final</t>
  </si>
  <si>
    <t xml:space="preserve">Simulation</t>
  </si>
  <si>
    <t xml:space="preserve">Thu</t>
  </si>
  <si>
    <t xml:space="preserve">Archived</t>
  </si>
  <si>
    <t xml:space="preserve">Skipped</t>
  </si>
  <si>
    <t xml:space="preserve">Rubric</t>
  </si>
  <si>
    <t xml:space="preserve">Vimeo</t>
  </si>
  <si>
    <t xml:space="preserve">Async</t>
  </si>
  <si>
    <t xml:space="preserve">Evaluate</t>
  </si>
  <si>
    <t xml:space="preserve">Communication Plan</t>
  </si>
  <si>
    <t xml:space="preserve">iRAT</t>
  </si>
  <si>
    <t xml:space="preserve">Discussion</t>
  </si>
  <si>
    <t xml:space="preserve">Fri</t>
  </si>
  <si>
    <t xml:space="preserve">HTML tool</t>
  </si>
  <si>
    <t xml:space="preserve">Library DB</t>
  </si>
  <si>
    <t xml:space="preserve">Sync</t>
  </si>
  <si>
    <t xml:space="preserve">Create</t>
  </si>
  <si>
    <t xml:space="preserve">Evidence</t>
  </si>
  <si>
    <t xml:space="preserve">tRAT</t>
  </si>
  <si>
    <t xml:space="preserve">Peer review</t>
  </si>
  <si>
    <t xml:space="preserve">Sat</t>
  </si>
  <si>
    <t xml:space="preserve">Simulator</t>
  </si>
  <si>
    <t xml:space="preserve">Publisher (OpenStax etc.)</t>
  </si>
  <si>
    <t xml:space="preserve">Application activity</t>
  </si>
  <si>
    <t xml:space="preserve">Polling</t>
  </si>
  <si>
    <t xml:space="preserve">Sun</t>
  </si>
  <si>
    <t xml:space="preserve">Lab exam</t>
  </si>
  <si>
    <t xml:space="preserve">Game</t>
  </si>
  <si>
    <t xml:space="preserve">Lab activity</t>
  </si>
  <si>
    <t xml:space="preserve">Local</t>
  </si>
  <si>
    <t xml:space="preserve">Project</t>
  </si>
  <si>
    <t xml:space="preserve">Reflection</t>
  </si>
  <si>
    <t xml:space="preserve">Other</t>
  </si>
  <si>
    <t xml:space="preserve">Drawing synthesis</t>
  </si>
  <si>
    <t xml:space="preserve">Office hours</t>
  </si>
  <si>
    <t xml:space="preserve">Drawing prompt</t>
  </si>
  <si>
    <t xml:space="preserve">Case analysis</t>
  </si>
  <si>
    <t xml:space="preserve">External link</t>
  </si>
  <si>
    <t xml:space="preserve">Document (PDF)</t>
  </si>
  <si>
    <t xml:space="preserve">Presentation</t>
  </si>
  <si>
    <t xml:space="preserve">Document (DOCX)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</si>
</sst>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A0522D"/>
      <name val="Arial"/>
      <family val="0"/>
      <charset val="1"/>
    </font>
    <font>
      <b val="true"/>
      <sz val="22"/>
      <color rgb="FF1E3D4C"/>
      <name val="Arial"/>
      <family val="0"/>
      <charset val="1"/>
    </font>
    <font>
      <sz val="11"/>
      <color rgb="FF142A36"/>
      <name val="Arial"/>
      <family val="0"/>
      <charset val="1"/>
    </font>
    <font>
      <i val="true"/>
      <sz val="10"/>
      <color rgb="FF5A6470"/>
      <name val="Arial"/>
      <family val="0"/>
      <charset val="1"/>
    </font>
    <font>
      <b val="true"/>
      <sz val="20"/>
      <color rgb="FF1E3D4C"/>
      <name val="Arial"/>
      <family val="0"/>
      <charset val="1"/>
    </font>
    <font>
      <b val="true"/>
      <sz val="11"/>
      <color rgb="FF1E3D4C"/>
      <name val="Arial"/>
      <family val="0"/>
      <charset val="1"/>
    </font>
    <font>
      <sz val="10"/>
      <color rgb="FF142A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3D4C"/>
      <name val="Arial"/>
      <family val="0"/>
      <charset val="1"/>
    </font>
    <font>
      <b val="true"/>
      <sz val="18"/>
      <color rgb="FF1E3D4C"/>
      <name val="Arial"/>
      <family val="0"/>
      <charset val="1"/>
    </font>
    <font>
      <i val="true"/>
      <sz val="9"/>
      <color rgb="FF8A6E2E"/>
      <name val="Arial"/>
      <family val="0"/>
      <charset val="1"/>
    </font>
    <font>
      <i val="true"/>
      <sz val="10"/>
      <color rgb="FF8A6E2E"/>
      <name val="Arial"/>
      <family val="0"/>
      <charset val="1"/>
    </font>
    <font>
      <b val="true"/>
      <sz val="10"/>
      <color rgb="FF1E3D4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DF1F3"/>
        <bgColor rgb="FFF4EFE3"/>
      </patternFill>
    </fill>
    <fill>
      <patternFill patternType="solid">
        <fgColor rgb="FFFFFFFF"/>
        <bgColor rgb="FFFAFAF9"/>
      </patternFill>
    </fill>
    <fill>
      <patternFill patternType="solid">
        <fgColor rgb="FF1E3D4C"/>
        <bgColor rgb="FF142A36"/>
      </patternFill>
    </fill>
    <fill>
      <patternFill patternType="solid">
        <fgColor rgb="FFF4EFE3"/>
        <bgColor rgb="FFEDF1F3"/>
      </patternFill>
    </fill>
    <fill>
      <patternFill patternType="solid">
        <fgColor rgb="FFFFF8E1"/>
        <bgColor rgb="FFFAFAF9"/>
      </patternFill>
    </fill>
    <fill>
      <patternFill patternType="solid">
        <fgColor rgb="FFFAFA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DC"/>
      </left>
      <right style="thin">
        <color rgb="FFD5D9DC"/>
      </right>
      <top style="thin">
        <color rgb="FFD5D9DC"/>
      </top>
      <bottom style="thin">
        <color rgb="FFD5D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E2E"/>
      <rgbColor rgb="FF800080"/>
      <rgbColor rgb="FF008080"/>
      <rgbColor rgb="FFC0C0C0"/>
      <rgbColor rgb="FF808080"/>
      <rgbColor rgb="FF9999FF"/>
      <rgbColor rgb="FF993366"/>
      <rgbColor rgb="FFFFF8E1"/>
      <rgbColor rgb="FFEDF1F3"/>
      <rgbColor rgb="FF660066"/>
      <rgbColor rgb="FFC2734D"/>
      <rgbColor rgb="FF0066CC"/>
      <rgbColor rgb="FFD5D9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9"/>
      <rgbColor rgb="FFF4EF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0"/>
      <rgbColor rgb="FFB8924A"/>
      <rgbColor rgb="FF142A36"/>
      <rgbColor rgb="FF339966"/>
      <rgbColor rgb="FF003300"/>
      <rgbColor rgb="FF333300"/>
      <rgbColor rgb="FFA0522D"/>
      <rgbColor rgb="FF993366"/>
      <rgbColor rgb="FF333399"/>
      <rgbColor rgb="FF1E3D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D4C"/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1.75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4A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2"/>
  </cols>
  <sheetData>
    <row r="1" customFormat="false" ht="21.75" hidden="false" customHeight="true" outlineLevel="0" collapsed="false">
      <c r="A1" s="1" t="s">
        <v>19</v>
      </c>
    </row>
    <row r="2" customFormat="false" ht="36" hidden="false" customHeight="true" outlineLevel="0" collapsed="false">
      <c r="A2" s="2" t="s">
        <v>20</v>
      </c>
    </row>
    <row r="3" customFormat="false" ht="15" hidden="false" customHeight="false" outlineLevel="0" collapsed="false">
      <c r="A3" s="4" t="s">
        <v>21</v>
      </c>
    </row>
    <row r="5" customFormat="false" ht="24" hidden="false" customHeight="tru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</row>
    <row r="6" customFormat="false" ht="36" hidden="false" customHeight="true" outlineLevel="0" collapsed="false">
      <c r="A6" s="6" t="n">
        <f aca="false">COUNTA('01 Course Information'!B6:B500)</f>
        <v>1</v>
      </c>
      <c r="B6" s="6" t="n">
        <f aca="false">COUNTA('04 Asset Capture'!A7:A1000)</f>
        <v>0</v>
      </c>
      <c r="C6" s="6" t="n">
        <f aca="false">COUNTA('04 Asset Capture'!G7:G1000)</f>
        <v>0</v>
      </c>
      <c r="D6" s="7" t="n">
        <f aca="false">IFERROR(COUNTA('04 Asset Capture'!G7:G1000)/COUNTA('04 Asset Capture'!A7:A1000),0)</f>
        <v>0</v>
      </c>
      <c r="E6" s="6" t="n">
        <f aca="false">COUNTA('03 Learning Outcomes'!A7:A1000)</f>
        <v>0</v>
      </c>
      <c r="F6" s="6" t="n">
        <f aca="false">COUNTA('06 Module Builder'!A7:A1000)</f>
        <v>0</v>
      </c>
      <c r="G6" s="6" t="n">
        <f aca="false">COUNTA('07 Assessments'!A7:A1000)</f>
        <v>0</v>
      </c>
      <c r="H6" s="6" t="n">
        <f aca="false">COUNTA('10 RSI'!A7:A1000)</f>
        <v>0</v>
      </c>
    </row>
    <row r="9" customFormat="false" ht="15" hidden="false" customHeight="false" outlineLevel="0" collapsed="false">
      <c r="A9" s="8" t="s">
        <v>30</v>
      </c>
      <c r="D9" s="8" t="s">
        <v>31</v>
      </c>
    </row>
    <row r="10" customFormat="false" ht="15" hidden="false" customHeight="false" outlineLevel="0" collapsed="false">
      <c r="A10" s="9" t="s">
        <v>32</v>
      </c>
      <c r="B10" s="10" t="n">
        <f aca="false">COUNTIF('04 Asset Capture'!T7:T1000,"Planned")</f>
        <v>0</v>
      </c>
      <c r="D10" s="9" t="s">
        <v>33</v>
      </c>
      <c r="E10" s="10" t="n">
        <f aca="false">COUNTIF('04 Asset Capture'!P7:P1000,"Pass")</f>
        <v>0</v>
      </c>
    </row>
    <row r="11" customFormat="false" ht="15" hidden="false" customHeight="false" outlineLevel="0" collapsed="false">
      <c r="A11" s="9" t="s">
        <v>34</v>
      </c>
      <c r="B11" s="10" t="n">
        <f aca="false">COUNTIF('04 Asset Capture'!T7:T1000,"Drafted")</f>
        <v>0</v>
      </c>
      <c r="D11" s="9" t="s">
        <v>35</v>
      </c>
      <c r="E11" s="10" t="n">
        <f aca="false">COUNTIF('04 Asset Capture'!P7:P1000,"Fail")</f>
        <v>0</v>
      </c>
    </row>
    <row r="12" customFormat="false" ht="15" hidden="false" customHeight="false" outlineLevel="0" collapsed="false">
      <c r="A12" s="9" t="s">
        <v>36</v>
      </c>
      <c r="B12" s="10" t="n">
        <f aca="false">COUNTIF('04 Asset Capture'!T7:T1000,"In review")</f>
        <v>0</v>
      </c>
      <c r="D12" s="9" t="s">
        <v>37</v>
      </c>
      <c r="E12" s="10" t="n">
        <f aca="false">COUNTIF('04 Asset Capture'!P7:P1000,"Partial")</f>
        <v>0</v>
      </c>
    </row>
    <row r="13" customFormat="false" ht="15" hidden="false" customHeight="false" outlineLevel="0" collapsed="false">
      <c r="A13" s="9" t="s">
        <v>38</v>
      </c>
      <c r="B13" s="10" t="n">
        <f aca="false">COUNTIF('04 Asset Capture'!T7:T1000,"Approved")</f>
        <v>0</v>
      </c>
      <c r="D13" s="9" t="s">
        <v>39</v>
      </c>
      <c r="E13" s="10" t="n">
        <f aca="false">COUNTIF('04 Asset Capture'!P7:P1000,"N/A")</f>
        <v>0</v>
      </c>
    </row>
    <row r="14" customFormat="false" ht="15" hidden="false" customHeight="false" outlineLevel="0" collapsed="false">
      <c r="A14" s="9" t="s">
        <v>40</v>
      </c>
      <c r="B14" s="10" t="n">
        <f aca="false">COUNTIF('04 Asset Capture'!T7:T1000,"Live")</f>
        <v>0</v>
      </c>
    </row>
    <row r="15" customFormat="false" ht="15" hidden="false" customHeight="false" outlineLevel="0" collapsed="false">
      <c r="A15" s="9" t="s">
        <v>41</v>
      </c>
      <c r="B15" s="10" t="n">
        <f aca="false">COUNTIF('04 Asset Capture'!T7:T1000,"Needs update")</f>
        <v>0</v>
      </c>
    </row>
    <row r="16" customFormat="false" ht="15" hidden="false" customHeight="false" outlineLevel="0" collapsed="false">
      <c r="A16" s="9" t="s">
        <v>42</v>
      </c>
      <c r="B16" s="10" t="n">
        <f aca="false">COUNTIF('04 Asset Capture'!T7:T1000,"Retired")</f>
        <v>0</v>
      </c>
    </row>
    <row r="18" customFormat="false" ht="15" hidden="false" customHeight="false" outlineLevel="0" collapsed="false">
      <c r="A18" s="8" t="s">
        <v>43</v>
      </c>
    </row>
    <row r="19" customFormat="false" ht="15" hidden="false" customHeight="false" outlineLevel="0" collapsed="false">
      <c r="A19" s="11" t="s">
        <v>44</v>
      </c>
      <c r="B19" s="11" t="s">
        <v>45</v>
      </c>
      <c r="C19" s="11" t="s">
        <v>46</v>
      </c>
      <c r="D19" s="11" t="s">
        <v>47</v>
      </c>
      <c r="E19" s="11" t="s">
        <v>48</v>
      </c>
      <c r="F19" s="11" t="s">
        <v>49</v>
      </c>
      <c r="G19" s="11" t="s">
        <v>50</v>
      </c>
    </row>
    <row r="20" customFormat="false" ht="15" hidden="false" customHeight="false" outlineLevel="0" collapsed="false">
      <c r="A20" s="12" t="str">
        <f aca="false">'01 Course Information'!B6</f>
        <v>COURSE 101</v>
      </c>
      <c r="B20" s="13" t="n">
        <f aca="false">IF(A20="","",COUNTIF('04 Asset Capture'!B7:B1000,A20))</f>
        <v>0</v>
      </c>
      <c r="C20" s="13" t="n">
        <f aca="false">IF(A20="","",COUNTIFS('04 Asset Capture'!B7:B1000,A20,'04 Asset Capture'!G7:G1000,"&lt;&gt;"))</f>
        <v>0</v>
      </c>
      <c r="D20" s="13" t="n">
        <f aca="false">IF(A20="","",COUNTIF('03 Learning Outcomes'!B7:B1000,A20))</f>
        <v>0</v>
      </c>
      <c r="E20" s="13" t="n">
        <f aca="false">IF(A20="","",COUNTIF('06 Module Builder'!B7:B1000,A20))</f>
        <v>0</v>
      </c>
      <c r="F20" s="13" t="n">
        <f aca="false">IF(A20="","",COUNTIF('07 Assessments'!B7:B1000,A20))</f>
        <v>0</v>
      </c>
      <c r="G20" s="13" t="n">
        <f aca="false">IF(A20="","",COUNTIF('10 RSI'!B7:B1000,A20))</f>
        <v>0</v>
      </c>
    </row>
    <row r="21" customFormat="false" ht="15" hidden="false" customHeight="false" outlineLevel="0" collapsed="false">
      <c r="A21" s="12" t="n">
        <f aca="false">'01 Course Information'!B7</f>
        <v>0</v>
      </c>
      <c r="B21" s="13" t="str">
        <f aca="false">IF(A21="","",COUNTIF('04 Asset Capture'!B7:B1000,A21))</f>
        <v/>
      </c>
      <c r="C21" s="13" t="str">
        <f aca="false">IF(A21="","",COUNTIFS('04 Asset Capture'!B7:B1000,A21,'04 Asset Capture'!G7:G1000,"&lt;&gt;"))</f>
        <v/>
      </c>
      <c r="D21" s="13" t="str">
        <f aca="false">IF(A21="","",COUNTIF('03 Learning Outcomes'!B7:B1000,A21))</f>
        <v/>
      </c>
      <c r="E21" s="13" t="str">
        <f aca="false">IF(A21="","",COUNTIF('06 Module Builder'!B7:B1000,A21))</f>
        <v/>
      </c>
      <c r="F21" s="13" t="str">
        <f aca="false">IF(A21="","",COUNTIF('07 Assessments'!B7:B1000,A21))</f>
        <v/>
      </c>
      <c r="G21" s="13" t="str">
        <f aca="false">IF(A21="","",COUNTIF('10 RSI'!B7:B1000,A21))</f>
        <v/>
      </c>
    </row>
    <row r="22" customFormat="false" ht="15" hidden="false" customHeight="false" outlineLevel="0" collapsed="false">
      <c r="A22" s="12" t="n">
        <f aca="false">'01 Course Information'!B8</f>
        <v>0</v>
      </c>
      <c r="B22" s="13" t="str">
        <f aca="false">IF(A22="","",COUNTIF('04 Asset Capture'!B7:B1000,A22))</f>
        <v/>
      </c>
      <c r="C22" s="13" t="str">
        <f aca="false">IF(A22="","",COUNTIFS('04 Asset Capture'!B7:B1000,A22,'04 Asset Capture'!G7:G1000,"&lt;&gt;"))</f>
        <v/>
      </c>
      <c r="D22" s="13" t="str">
        <f aca="false">IF(A22="","",COUNTIF('03 Learning Outcomes'!B7:B1000,A22))</f>
        <v/>
      </c>
      <c r="E22" s="13" t="str">
        <f aca="false">IF(A22="","",COUNTIF('06 Module Builder'!B7:B1000,A22))</f>
        <v/>
      </c>
      <c r="F22" s="13" t="str">
        <f aca="false">IF(A22="","",COUNTIF('07 Assessments'!B7:B1000,A22))</f>
        <v/>
      </c>
      <c r="G22" s="13" t="str">
        <f aca="false">IF(A22="","",COUNTIF('10 RSI'!B7:B1000,A22))</f>
        <v/>
      </c>
    </row>
    <row r="23" customFormat="false" ht="15" hidden="false" customHeight="false" outlineLevel="0" collapsed="false">
      <c r="A23" s="12" t="n">
        <f aca="false">'01 Course Information'!B9</f>
        <v>0</v>
      </c>
      <c r="B23" s="13" t="str">
        <f aca="false">IF(A23="","",COUNTIF('04 Asset Capture'!B7:B1000,A23))</f>
        <v/>
      </c>
      <c r="C23" s="13" t="str">
        <f aca="false">IF(A23="","",COUNTIFS('04 Asset Capture'!B7:B1000,A23,'04 Asset Capture'!G7:G1000,"&lt;&gt;"))</f>
        <v/>
      </c>
      <c r="D23" s="13" t="str">
        <f aca="false">IF(A23="","",COUNTIF('03 Learning Outcomes'!B7:B1000,A23))</f>
        <v/>
      </c>
      <c r="E23" s="13" t="str">
        <f aca="false">IF(A23="","",COUNTIF('06 Module Builder'!B7:B1000,A23))</f>
        <v/>
      </c>
      <c r="F23" s="13" t="str">
        <f aca="false">IF(A23="","",COUNTIF('07 Assessments'!B7:B1000,A23))</f>
        <v/>
      </c>
      <c r="G23" s="13" t="str">
        <f aca="false">IF(A23="","",COUNTIF('10 RSI'!B7:B1000,A23))</f>
        <v/>
      </c>
    </row>
    <row r="24" customFormat="false" ht="15" hidden="false" customHeight="false" outlineLevel="0" collapsed="false">
      <c r="A24" s="12" t="n">
        <f aca="false">'01 Course Information'!B10</f>
        <v>0</v>
      </c>
      <c r="B24" s="13" t="str">
        <f aca="false">IF(A24="","",COUNTIF('04 Asset Capture'!B7:B1000,A24))</f>
        <v/>
      </c>
      <c r="C24" s="13" t="str">
        <f aca="false">IF(A24="","",COUNTIFS('04 Asset Capture'!B7:B1000,A24,'04 Asset Capture'!G7:G1000,"&lt;&gt;"))</f>
        <v/>
      </c>
      <c r="D24" s="13" t="str">
        <f aca="false">IF(A24="","",COUNTIF('03 Learning Outcomes'!B7:B1000,A24))</f>
        <v/>
      </c>
      <c r="E24" s="13" t="str">
        <f aca="false">IF(A24="","",COUNTIF('06 Module Builder'!B7:B1000,A24))</f>
        <v/>
      </c>
      <c r="F24" s="13" t="str">
        <f aca="false">IF(A24="","",COUNTIF('07 Assessments'!B7:B1000,A24))</f>
        <v/>
      </c>
      <c r="G24" s="13" t="str">
        <f aca="false">IF(A24="","",COUNTIF('10 RSI'!B7:B1000,A24))</f>
        <v/>
      </c>
    </row>
    <row r="25" customFormat="false" ht="15" hidden="false" customHeight="false" outlineLevel="0" collapsed="false">
      <c r="A25" s="12" t="n">
        <f aca="false">'01 Course Information'!B11</f>
        <v>0</v>
      </c>
      <c r="B25" s="13" t="str">
        <f aca="false">IF(A25="","",COUNTIF('04 Asset Capture'!B7:B1000,A25))</f>
        <v/>
      </c>
      <c r="C25" s="13" t="str">
        <f aca="false">IF(A25="","",COUNTIFS('04 Asset Capture'!B7:B1000,A25,'04 Asset Capture'!G7:G1000,"&lt;&gt;"))</f>
        <v/>
      </c>
      <c r="D25" s="13" t="str">
        <f aca="false">IF(A25="","",COUNTIF('03 Learning Outcomes'!B7:B1000,A25))</f>
        <v/>
      </c>
      <c r="E25" s="13" t="str">
        <f aca="false">IF(A25="","",COUNTIF('06 Module Builder'!B7:B1000,A25))</f>
        <v/>
      </c>
      <c r="F25" s="13" t="str">
        <f aca="false">IF(A25="","",COUNTIF('07 Assessments'!B7:B1000,A25))</f>
        <v/>
      </c>
      <c r="G25" s="13" t="str">
        <f aca="false">IF(A25="","",COUNTIF('10 RSI'!B7:B1000,A25))</f>
        <v/>
      </c>
    </row>
    <row r="26" customFormat="false" ht="15" hidden="false" customHeight="false" outlineLevel="0" collapsed="false">
      <c r="A26" s="12" t="n">
        <f aca="false">'01 Course Information'!B12</f>
        <v>0</v>
      </c>
      <c r="B26" s="13" t="str">
        <f aca="false">IF(A26="","",COUNTIF('04 Asset Capture'!B7:B1000,A26))</f>
        <v/>
      </c>
      <c r="C26" s="13" t="str">
        <f aca="false">IF(A26="","",COUNTIFS('04 Asset Capture'!B7:B1000,A26,'04 Asset Capture'!G7:G1000,"&lt;&gt;"))</f>
        <v/>
      </c>
      <c r="D26" s="13" t="str">
        <f aca="false">IF(A26="","",COUNTIF('03 Learning Outcomes'!B7:B1000,A26))</f>
        <v/>
      </c>
      <c r="E26" s="13" t="str">
        <f aca="false">IF(A26="","",COUNTIF('06 Module Builder'!B7:B1000,A26))</f>
        <v/>
      </c>
      <c r="F26" s="13" t="str">
        <f aca="false">IF(A26="","",COUNTIF('07 Assessments'!B7:B1000,A26))</f>
        <v/>
      </c>
      <c r="G26" s="13" t="str">
        <f aca="false">IF(A26="","",COUNTIF('10 RSI'!B7:B1000,A26))</f>
        <v/>
      </c>
    </row>
    <row r="27" customFormat="false" ht="15" hidden="false" customHeight="false" outlineLevel="0" collapsed="false">
      <c r="A27" s="12" t="n">
        <f aca="false">'01 Course Information'!B13</f>
        <v>0</v>
      </c>
      <c r="B27" s="13" t="str">
        <f aca="false">IF(A27="","",COUNTIF('04 Asset Capture'!B7:B1000,A27))</f>
        <v/>
      </c>
      <c r="C27" s="13" t="str">
        <f aca="false">IF(A27="","",COUNTIFS('04 Asset Capture'!B7:B1000,A27,'04 Asset Capture'!G7:G1000,"&lt;&gt;"))</f>
        <v/>
      </c>
      <c r="D27" s="13" t="str">
        <f aca="false">IF(A27="","",COUNTIF('03 Learning Outcomes'!B7:B1000,A27))</f>
        <v/>
      </c>
      <c r="E27" s="13" t="str">
        <f aca="false">IF(A27="","",COUNTIF('06 Module Builder'!B7:B1000,A27))</f>
        <v/>
      </c>
      <c r="F27" s="13" t="str">
        <f aca="false">IF(A27="","",COUNTIF('07 Assessments'!B7:B1000,A27))</f>
        <v/>
      </c>
      <c r="G27" s="13" t="str">
        <f aca="false">IF(A27="","",COUNTIF('10 RSI'!B7:B1000,A27))</f>
        <v/>
      </c>
    </row>
    <row r="28" customFormat="false" ht="15" hidden="false" customHeight="false" outlineLevel="0" collapsed="false">
      <c r="A28" s="12" t="n">
        <f aca="false">'01 Course Information'!B14</f>
        <v>0</v>
      </c>
      <c r="B28" s="13" t="str">
        <f aca="false">IF(A28="","",COUNTIF('04 Asset Capture'!B7:B1000,A28))</f>
        <v/>
      </c>
      <c r="C28" s="13" t="str">
        <f aca="false">IF(A28="","",COUNTIFS('04 Asset Capture'!B7:B1000,A28,'04 Asset Capture'!G7:G1000,"&lt;&gt;"))</f>
        <v/>
      </c>
      <c r="D28" s="13" t="str">
        <f aca="false">IF(A28="","",COUNTIF('03 Learning Outcomes'!B7:B1000,A28))</f>
        <v/>
      </c>
      <c r="E28" s="13" t="str">
        <f aca="false">IF(A28="","",COUNTIF('06 Module Builder'!B7:B1000,A28))</f>
        <v/>
      </c>
      <c r="F28" s="13" t="str">
        <f aca="false">IF(A28="","",COUNTIF('07 Assessments'!B7:B1000,A28))</f>
        <v/>
      </c>
      <c r="G28" s="13" t="str">
        <f aca="false">IF(A28="","",COUNTIF('10 RSI'!B7:B1000,A28))</f>
        <v/>
      </c>
    </row>
    <row r="29" customFormat="false" ht="15" hidden="false" customHeight="false" outlineLevel="0" collapsed="false">
      <c r="A29" s="12" t="n">
        <f aca="false">'01 Course Information'!B15</f>
        <v>0</v>
      </c>
      <c r="B29" s="13" t="str">
        <f aca="false">IF(A29="","",COUNTIF('04 Asset Capture'!B7:B1000,A29))</f>
        <v/>
      </c>
      <c r="C29" s="13" t="str">
        <f aca="false">IF(A29="","",COUNTIFS('04 Asset Capture'!B7:B1000,A29,'04 Asset Capture'!G7:G1000,"&lt;&gt;"))</f>
        <v/>
      </c>
      <c r="D29" s="13" t="str">
        <f aca="false">IF(A29="","",COUNTIF('03 Learning Outcomes'!B7:B1000,A29))</f>
        <v/>
      </c>
      <c r="E29" s="13" t="str">
        <f aca="false">IF(A29="","",COUNTIF('06 Module Builder'!B7:B1000,A29))</f>
        <v/>
      </c>
      <c r="F29" s="13" t="str">
        <f aca="false">IF(A29="","",COUNTIF('07 Assessments'!B7:B1000,A29))</f>
        <v/>
      </c>
      <c r="G29" s="13" t="str">
        <f aca="false">IF(A29="","",COUNTIF('10 RSI'!B7:B1000,A29))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D4C"/>
    <pageSetUpPr fitToPage="false"/>
  </sheetPr>
  <dimension ref="A1:R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4" min="12" style="0" width="28"/>
    <col collapsed="false" customWidth="true" hidden="false" outlineLevel="0" max="15" min="15" style="0" width="46"/>
    <col collapsed="false" customWidth="true" hidden="false" outlineLevel="0" max="17" min="16" style="0" width="14"/>
    <col collapsed="false" customWidth="true" hidden="false" outlineLevel="0" max="18" min="18" style="0" width="22"/>
  </cols>
  <sheetData>
    <row r="1" customFormat="false" ht="21.75" hidden="false" customHeight="true" outlineLevel="0" collapsed="false">
      <c r="A1" s="1" t="s">
        <v>51</v>
      </c>
    </row>
    <row r="2" customFormat="false" ht="31.5" hidden="false" customHeight="true" outlineLevel="0" collapsed="false">
      <c r="A2" s="14" t="s">
        <v>52</v>
      </c>
    </row>
    <row r="3" customFormat="false" ht="15" hidden="false" customHeight="false" outlineLevel="0" collapsed="false">
      <c r="A3" s="4" t="s">
        <v>53</v>
      </c>
    </row>
    <row r="4" customFormat="false" ht="37.5" hidden="false" customHeight="true" outlineLevel="0" collapsed="false">
      <c r="A4" s="11" t="s">
        <v>54</v>
      </c>
      <c r="B4" s="11" t="s">
        <v>44</v>
      </c>
      <c r="C4" s="11" t="s">
        <v>55</v>
      </c>
      <c r="D4" s="11" t="s">
        <v>56</v>
      </c>
      <c r="E4" s="11" t="s">
        <v>57</v>
      </c>
      <c r="F4" s="11" t="s">
        <v>58</v>
      </c>
      <c r="G4" s="11" t="s">
        <v>59</v>
      </c>
      <c r="H4" s="11" t="s">
        <v>60</v>
      </c>
      <c r="I4" s="11" t="s">
        <v>61</v>
      </c>
      <c r="J4" s="11" t="s">
        <v>62</v>
      </c>
      <c r="K4" s="11" t="s">
        <v>63</v>
      </c>
      <c r="L4" s="11" t="s">
        <v>64</v>
      </c>
      <c r="M4" s="11" t="s">
        <v>65</v>
      </c>
      <c r="N4" s="11" t="s">
        <v>66</v>
      </c>
      <c r="O4" s="11" t="s">
        <v>67</v>
      </c>
      <c r="P4" s="11" t="s">
        <v>68</v>
      </c>
      <c r="Q4" s="11" t="s">
        <v>69</v>
      </c>
      <c r="R4" s="11" t="s">
        <v>70</v>
      </c>
    </row>
    <row r="5" customFormat="false" ht="30" hidden="false" customHeight="true" outlineLevel="0" collapsed="false">
      <c r="A5" s="15" t="s">
        <v>71</v>
      </c>
      <c r="B5" s="15" t="s">
        <v>72</v>
      </c>
      <c r="C5" s="15" t="s">
        <v>73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  <c r="I5" s="15" t="s">
        <v>79</v>
      </c>
      <c r="J5" s="15" t="s">
        <v>80</v>
      </c>
      <c r="K5" s="15" t="s">
        <v>80</v>
      </c>
      <c r="L5" s="15" t="s">
        <v>81</v>
      </c>
      <c r="M5" s="15" t="s">
        <v>82</v>
      </c>
      <c r="N5" s="15" t="s">
        <v>83</v>
      </c>
      <c r="O5" s="15" t="s">
        <v>84</v>
      </c>
      <c r="P5" s="15" t="s">
        <v>76</v>
      </c>
      <c r="Q5" s="15" t="s">
        <v>80</v>
      </c>
      <c r="R5" s="15" t="s">
        <v>85</v>
      </c>
    </row>
    <row r="6" customFormat="false" ht="23.85" hidden="false" customHeight="false" outlineLevel="0" collapsed="false">
      <c r="A6" s="16" t="s">
        <v>86</v>
      </c>
      <c r="B6" s="16" t="s">
        <v>87</v>
      </c>
      <c r="C6" s="16" t="s">
        <v>88</v>
      </c>
      <c r="D6" s="16" t="s">
        <v>89</v>
      </c>
      <c r="E6" s="16" t="s">
        <v>90</v>
      </c>
      <c r="F6" s="16" t="s">
        <v>91</v>
      </c>
      <c r="G6" s="16" t="s">
        <v>92</v>
      </c>
      <c r="H6" s="16" t="s">
        <v>93</v>
      </c>
      <c r="I6" s="16" t="s">
        <v>94</v>
      </c>
      <c r="J6" s="16" t="s">
        <v>95</v>
      </c>
      <c r="K6" s="16" t="s">
        <v>96</v>
      </c>
      <c r="L6" s="16"/>
      <c r="M6" s="16"/>
      <c r="N6" s="16"/>
      <c r="O6" s="16" t="s">
        <v>97</v>
      </c>
      <c r="P6" s="16" t="s">
        <v>98</v>
      </c>
      <c r="Q6" s="16" t="s">
        <v>99</v>
      </c>
      <c r="R6" s="16" t="s">
        <v>100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</row>
  </sheetData>
  <dataValidations count="2">
    <dataValidation allowBlank="true" error="Pick from the list or extend on the Lookups tab." errorStyle="stop" errorTitle="Not in list" operator="between" prompt="Choose from Modality" promptTitle="Modality" showDropDown="false" showErrorMessage="false" showInputMessage="false" sqref="F6:F500" type="list">
      <formula1>Modality</formula1>
      <formula2>0</formula2>
    </dataValidation>
    <dataValidation allowBlank="true" error="Pick from the list or extend on the Lookups tab." errorStyle="stop" errorTitle="Not in list" operator="between" prompt="Choose from Status_Course" promptTitle="Status_Course" showDropDown="false" showErrorMessage="false" showInputMessage="false" sqref="P6:P500" type="list">
      <formula1>Status_Course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D4C"/>
    <pageSetUpPr fitToPage="fals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101</v>
      </c>
    </row>
    <row r="2" customFormat="false" ht="31.5" hidden="false" customHeight="true" outlineLevel="0" collapsed="false">
      <c r="A2" s="14" t="s">
        <v>102</v>
      </c>
    </row>
    <row r="3" customFormat="false" ht="15" hidden="false" customHeight="false" outlineLevel="0" collapsed="false">
      <c r="A3" s="4" t="s">
        <v>103</v>
      </c>
    </row>
    <row r="4" customFormat="false" ht="37.5" hidden="false" customHeight="true" outlineLevel="0" collapsed="false">
      <c r="A4" s="11" t="s">
        <v>104</v>
      </c>
      <c r="B4" s="11" t="s">
        <v>105</v>
      </c>
      <c r="C4" s="11" t="s">
        <v>106</v>
      </c>
      <c r="D4" s="11" t="s">
        <v>107</v>
      </c>
    </row>
    <row r="5" customFormat="false" ht="30" hidden="false" customHeight="true" outlineLevel="0" collapsed="false">
      <c r="A5" s="15" t="s">
        <v>108</v>
      </c>
      <c r="B5" s="15" t="s">
        <v>108</v>
      </c>
      <c r="C5" s="15" t="s">
        <v>109</v>
      </c>
      <c r="D5" s="15" t="s">
        <v>110</v>
      </c>
    </row>
    <row r="6" customFormat="false" ht="23.85" hidden="false" customHeight="false" outlineLevel="0" collapsed="false">
      <c r="A6" s="19" t="s">
        <v>111</v>
      </c>
      <c r="B6" s="19" t="s">
        <v>112</v>
      </c>
      <c r="C6" s="20"/>
      <c r="D6" s="21" t="s">
        <v>113</v>
      </c>
    </row>
    <row r="7" customFormat="false" ht="23.85" hidden="false" customHeight="false" outlineLevel="0" collapsed="false">
      <c r="A7" s="22" t="s">
        <v>111</v>
      </c>
      <c r="B7" s="22" t="s">
        <v>114</v>
      </c>
      <c r="C7" s="23"/>
      <c r="D7" s="24" t="s">
        <v>115</v>
      </c>
    </row>
    <row r="8" customFormat="false" ht="15" hidden="false" customHeight="false" outlineLevel="0" collapsed="false">
      <c r="A8" s="19" t="s">
        <v>111</v>
      </c>
      <c r="B8" s="19" t="s">
        <v>116</v>
      </c>
      <c r="C8" s="20"/>
      <c r="D8" s="21" t="s">
        <v>117</v>
      </c>
    </row>
    <row r="9" customFormat="false" ht="15" hidden="false" customHeight="false" outlineLevel="0" collapsed="false">
      <c r="A9" s="22" t="s">
        <v>111</v>
      </c>
      <c r="B9" s="22" t="s">
        <v>118</v>
      </c>
      <c r="C9" s="23"/>
      <c r="D9" s="24" t="s">
        <v>119</v>
      </c>
    </row>
    <row r="10" customFormat="false" ht="15" hidden="false" customHeight="false" outlineLevel="0" collapsed="false">
      <c r="A10" s="19" t="s">
        <v>111</v>
      </c>
      <c r="B10" s="19" t="s">
        <v>120</v>
      </c>
      <c r="C10" s="20"/>
      <c r="D10" s="21"/>
    </row>
    <row r="11" customFormat="false" ht="15" hidden="false" customHeight="false" outlineLevel="0" collapsed="false">
      <c r="A11" s="22" t="s">
        <v>111</v>
      </c>
      <c r="B11" s="22" t="s">
        <v>121</v>
      </c>
      <c r="C11" s="23"/>
      <c r="D11" s="24" t="s">
        <v>122</v>
      </c>
    </row>
    <row r="12" customFormat="false" ht="15" hidden="false" customHeight="false" outlineLevel="0" collapsed="false">
      <c r="A12" s="19" t="s">
        <v>111</v>
      </c>
      <c r="B12" s="19" t="s">
        <v>123</v>
      </c>
      <c r="C12" s="20"/>
      <c r="D12" s="21" t="s">
        <v>124</v>
      </c>
    </row>
    <row r="13" customFormat="false" ht="15" hidden="false" customHeight="false" outlineLevel="0" collapsed="false">
      <c r="A13" s="22" t="s">
        <v>125</v>
      </c>
      <c r="B13" s="22" t="s">
        <v>126</v>
      </c>
      <c r="C13" s="23"/>
      <c r="D13" s="24" t="s">
        <v>127</v>
      </c>
    </row>
    <row r="14" customFormat="false" ht="23.85" hidden="false" customHeight="false" outlineLevel="0" collapsed="false">
      <c r="A14" s="19" t="s">
        <v>125</v>
      </c>
      <c r="B14" s="19" t="s">
        <v>128</v>
      </c>
      <c r="C14" s="20"/>
      <c r="D14" s="21"/>
    </row>
    <row r="15" customFormat="false" ht="23.85" hidden="false" customHeight="false" outlineLevel="0" collapsed="false">
      <c r="A15" s="22" t="s">
        <v>125</v>
      </c>
      <c r="B15" s="22" t="s">
        <v>129</v>
      </c>
      <c r="C15" s="23"/>
      <c r="D15" s="24"/>
    </row>
    <row r="16" customFormat="false" ht="15" hidden="false" customHeight="false" outlineLevel="0" collapsed="false">
      <c r="A16" s="19" t="s">
        <v>125</v>
      </c>
      <c r="B16" s="19" t="s">
        <v>130</v>
      </c>
      <c r="C16" s="20"/>
      <c r="D16" s="21"/>
    </row>
    <row r="17" customFormat="false" ht="15" hidden="false" customHeight="false" outlineLevel="0" collapsed="false">
      <c r="A17" s="22" t="s">
        <v>131</v>
      </c>
      <c r="B17" s="22" t="s">
        <v>132</v>
      </c>
      <c r="C17" s="23"/>
      <c r="D17" s="24" t="s">
        <v>133</v>
      </c>
    </row>
    <row r="18" customFormat="false" ht="15" hidden="false" customHeight="false" outlineLevel="0" collapsed="false">
      <c r="A18" s="19" t="s">
        <v>131</v>
      </c>
      <c r="B18" s="19" t="s">
        <v>134</v>
      </c>
      <c r="C18" s="20"/>
      <c r="D18" s="21" t="s">
        <v>135</v>
      </c>
    </row>
    <row r="19" customFormat="false" ht="15" hidden="false" customHeight="false" outlineLevel="0" collapsed="false">
      <c r="A19" s="22" t="s">
        <v>131</v>
      </c>
      <c r="B19" s="22" t="s">
        <v>136</v>
      </c>
      <c r="C19" s="23"/>
      <c r="D19" s="24" t="s">
        <v>137</v>
      </c>
    </row>
    <row r="20" customFormat="false" ht="15" hidden="false" customHeight="false" outlineLevel="0" collapsed="false">
      <c r="A20" s="19" t="s">
        <v>131</v>
      </c>
      <c r="B20" s="19" t="s">
        <v>138</v>
      </c>
      <c r="C20" s="20"/>
      <c r="D20" s="21" t="s">
        <v>139</v>
      </c>
    </row>
    <row r="21" customFormat="false" ht="15" hidden="false" customHeight="false" outlineLevel="0" collapsed="false">
      <c r="A21" s="22" t="s">
        <v>131</v>
      </c>
      <c r="B21" s="22" t="s">
        <v>140</v>
      </c>
      <c r="C21" s="23"/>
      <c r="D21" s="24" t="s">
        <v>141</v>
      </c>
    </row>
    <row r="22" customFormat="false" ht="23.85" hidden="false" customHeight="false" outlineLevel="0" collapsed="false">
      <c r="A22" s="19" t="s">
        <v>142</v>
      </c>
      <c r="B22" s="19" t="s">
        <v>143</v>
      </c>
      <c r="C22" s="20"/>
      <c r="D22" s="21" t="s">
        <v>144</v>
      </c>
    </row>
    <row r="23" customFormat="false" ht="15" hidden="false" customHeight="false" outlineLevel="0" collapsed="false">
      <c r="A23" s="22" t="s">
        <v>142</v>
      </c>
      <c r="B23" s="22" t="s">
        <v>145</v>
      </c>
      <c r="C23" s="23"/>
      <c r="D23" s="24" t="s">
        <v>146</v>
      </c>
    </row>
    <row r="24" customFormat="false" ht="15" hidden="false" customHeight="false" outlineLevel="0" collapsed="false">
      <c r="A24" s="19" t="s">
        <v>142</v>
      </c>
      <c r="B24" s="19" t="s">
        <v>147</v>
      </c>
      <c r="C24" s="20"/>
      <c r="D24" s="21" t="s">
        <v>148</v>
      </c>
    </row>
    <row r="25" customFormat="false" ht="15" hidden="false" customHeight="false" outlineLevel="0" collapsed="false">
      <c r="A25" s="22" t="s">
        <v>149</v>
      </c>
      <c r="B25" s="22" t="s">
        <v>150</v>
      </c>
      <c r="C25" s="23"/>
      <c r="D25" s="24" t="s">
        <v>151</v>
      </c>
    </row>
    <row r="26" customFormat="false" ht="15" hidden="false" customHeight="false" outlineLevel="0" collapsed="false">
      <c r="A26" s="19" t="s">
        <v>149</v>
      </c>
      <c r="B26" s="19" t="s">
        <v>152</v>
      </c>
      <c r="C26" s="20"/>
      <c r="D26" s="21"/>
    </row>
    <row r="27" customFormat="false" ht="15" hidden="false" customHeight="false" outlineLevel="0" collapsed="false">
      <c r="A27" s="22" t="s">
        <v>149</v>
      </c>
      <c r="B27" s="22" t="s">
        <v>153</v>
      </c>
      <c r="C27" s="23"/>
      <c r="D27" s="24" t="s">
        <v>154</v>
      </c>
    </row>
    <row r="28" customFormat="false" ht="15" hidden="false" customHeight="false" outlineLevel="0" collapsed="false">
      <c r="A28" s="19" t="s">
        <v>149</v>
      </c>
      <c r="B28" s="19" t="s">
        <v>155</v>
      </c>
      <c r="C28" s="20"/>
      <c r="D28" s="21"/>
    </row>
    <row r="29" customFormat="false" ht="15" hidden="false" customHeight="false" outlineLevel="0" collapsed="false">
      <c r="A29" s="22" t="s">
        <v>149</v>
      </c>
      <c r="B29" s="22" t="s">
        <v>156</v>
      </c>
      <c r="C29" s="23"/>
      <c r="D29" s="24"/>
    </row>
    <row r="30" customFormat="false" ht="15" hidden="false" customHeight="false" outlineLevel="0" collapsed="false">
      <c r="A30" s="19" t="s">
        <v>157</v>
      </c>
      <c r="B30" s="19" t="s">
        <v>158</v>
      </c>
      <c r="C30" s="20"/>
      <c r="D30" s="21"/>
    </row>
    <row r="31" customFormat="false" ht="15" hidden="false" customHeight="false" outlineLevel="0" collapsed="false">
      <c r="A31" s="22" t="s">
        <v>157</v>
      </c>
      <c r="B31" s="22" t="s">
        <v>159</v>
      </c>
      <c r="C31" s="23"/>
      <c r="D31" s="24" t="s">
        <v>160</v>
      </c>
    </row>
    <row r="32" customFormat="false" ht="15" hidden="false" customHeight="false" outlineLevel="0" collapsed="false">
      <c r="A32" s="19" t="s">
        <v>157</v>
      </c>
      <c r="B32" s="19" t="s">
        <v>161</v>
      </c>
      <c r="C32" s="20"/>
      <c r="D32" s="21" t="s">
        <v>162</v>
      </c>
    </row>
    <row r="33" customFormat="false" ht="15" hidden="false" customHeight="false" outlineLevel="0" collapsed="false">
      <c r="A33" s="22" t="s">
        <v>157</v>
      </c>
      <c r="B33" s="22" t="s">
        <v>163</v>
      </c>
      <c r="C33" s="23"/>
      <c r="D33" s="24"/>
    </row>
    <row r="34" customFormat="false" ht="15" hidden="false" customHeight="false" outlineLevel="0" collapsed="false">
      <c r="A34" s="19" t="s">
        <v>164</v>
      </c>
      <c r="B34" s="19" t="s">
        <v>165</v>
      </c>
      <c r="C34" s="20"/>
      <c r="D34" s="21" t="s">
        <v>166</v>
      </c>
    </row>
    <row r="35" customFormat="false" ht="15" hidden="false" customHeight="false" outlineLevel="0" collapsed="false">
      <c r="A35" s="22" t="s">
        <v>164</v>
      </c>
      <c r="B35" s="22" t="s">
        <v>167</v>
      </c>
      <c r="C35" s="23"/>
      <c r="D35" s="24"/>
    </row>
    <row r="36" customFormat="false" ht="15" hidden="false" customHeight="false" outlineLevel="0" collapsed="false">
      <c r="A36" s="19" t="s">
        <v>164</v>
      </c>
      <c r="B36" s="19" t="s">
        <v>168</v>
      </c>
      <c r="C36" s="20"/>
      <c r="D36" s="21" t="s">
        <v>169</v>
      </c>
    </row>
    <row r="37" customFormat="false" ht="15" hidden="false" customHeight="false" outlineLevel="0" collapsed="false">
      <c r="A37" s="22" t="s">
        <v>164</v>
      </c>
      <c r="B37" s="22" t="s">
        <v>170</v>
      </c>
      <c r="C37" s="23"/>
      <c r="D37" s="24" t="s">
        <v>171</v>
      </c>
    </row>
    <row r="38" customFormat="false" ht="15" hidden="false" customHeight="false" outlineLevel="0" collapsed="false">
      <c r="A38" s="19" t="s">
        <v>172</v>
      </c>
      <c r="B38" s="19" t="s">
        <v>173</v>
      </c>
      <c r="C38" s="20"/>
      <c r="D38" s="21" t="s">
        <v>174</v>
      </c>
    </row>
    <row r="39" customFormat="false" ht="15" hidden="false" customHeight="false" outlineLevel="0" collapsed="false">
      <c r="A39" s="22" t="s">
        <v>172</v>
      </c>
      <c r="B39" s="22" t="s">
        <v>175</v>
      </c>
      <c r="C39" s="23"/>
      <c r="D39" s="24" t="s">
        <v>176</v>
      </c>
    </row>
    <row r="40" customFormat="false" ht="15" hidden="false" customHeight="false" outlineLevel="0" collapsed="false">
      <c r="A40" s="19" t="s">
        <v>172</v>
      </c>
      <c r="B40" s="19" t="s">
        <v>177</v>
      </c>
      <c r="C40" s="20"/>
      <c r="D40" s="21"/>
    </row>
    <row r="41" customFormat="false" ht="15" hidden="false" customHeight="false" outlineLevel="0" collapsed="false">
      <c r="A41" s="22" t="s">
        <v>172</v>
      </c>
      <c r="B41" s="22" t="s">
        <v>178</v>
      </c>
      <c r="C41" s="23"/>
      <c r="D41" s="24" t="s">
        <v>179</v>
      </c>
    </row>
    <row r="42" customFormat="false" ht="15" hidden="false" customHeight="false" outlineLevel="0" collapsed="false">
      <c r="A42" s="19" t="s">
        <v>172</v>
      </c>
      <c r="B42" s="19" t="s">
        <v>180</v>
      </c>
      <c r="C42" s="20"/>
      <c r="D42" s="21" t="s">
        <v>181</v>
      </c>
    </row>
    <row r="43" customFormat="false" ht="15" hidden="false" customHeight="false" outlineLevel="0" collapsed="false">
      <c r="A43" s="22" t="s">
        <v>182</v>
      </c>
      <c r="B43" s="22" t="s">
        <v>183</v>
      </c>
      <c r="C43" s="23"/>
      <c r="D43" s="24" t="s">
        <v>184</v>
      </c>
    </row>
    <row r="44" customFormat="false" ht="15" hidden="false" customHeight="false" outlineLevel="0" collapsed="false">
      <c r="A44" s="19" t="s">
        <v>182</v>
      </c>
      <c r="B44" s="19" t="s">
        <v>185</v>
      </c>
      <c r="C44" s="20"/>
      <c r="D44" s="21" t="s">
        <v>186</v>
      </c>
    </row>
    <row r="45" customFormat="false" ht="15" hidden="false" customHeight="false" outlineLevel="0" collapsed="false">
      <c r="A45" s="22" t="s">
        <v>182</v>
      </c>
      <c r="B45" s="22" t="s">
        <v>187</v>
      </c>
      <c r="C45" s="23"/>
      <c r="D45" s="24" t="s">
        <v>188</v>
      </c>
    </row>
    <row r="46" customFormat="false" ht="15" hidden="false" customHeight="false" outlineLevel="0" collapsed="false">
      <c r="A46" s="19" t="s">
        <v>182</v>
      </c>
      <c r="B46" s="19" t="s">
        <v>189</v>
      </c>
      <c r="C46" s="20"/>
      <c r="D46" s="21" t="s">
        <v>190</v>
      </c>
    </row>
    <row r="47" customFormat="false" ht="15" hidden="false" customHeight="false" outlineLevel="0" collapsed="false">
      <c r="A47" s="22" t="s">
        <v>182</v>
      </c>
      <c r="B47" s="22" t="s">
        <v>191</v>
      </c>
      <c r="C47" s="23"/>
      <c r="D47" s="24" t="s">
        <v>192</v>
      </c>
    </row>
    <row r="48" customFormat="false" ht="15" hidden="false" customHeight="false" outlineLevel="0" collapsed="false">
      <c r="A48" s="19" t="s">
        <v>193</v>
      </c>
      <c r="B48" s="19" t="s">
        <v>194</v>
      </c>
      <c r="C48" s="20"/>
      <c r="D48" s="21" t="s">
        <v>195</v>
      </c>
    </row>
    <row r="49" customFormat="false" ht="15" hidden="false" customHeight="false" outlineLevel="0" collapsed="false">
      <c r="A49" s="22" t="s">
        <v>193</v>
      </c>
      <c r="B49" s="22" t="s">
        <v>196</v>
      </c>
      <c r="C49" s="23"/>
      <c r="D49" s="24" t="s">
        <v>197</v>
      </c>
    </row>
    <row r="50" customFormat="false" ht="15" hidden="false" customHeight="false" outlineLevel="0" collapsed="false">
      <c r="A50" s="19" t="s">
        <v>193</v>
      </c>
      <c r="B50" s="19" t="s">
        <v>198</v>
      </c>
      <c r="C50" s="20"/>
      <c r="D50" s="21" t="s">
        <v>199</v>
      </c>
    </row>
    <row r="51" customFormat="false" ht="15" hidden="false" customHeight="false" outlineLevel="0" collapsed="false">
      <c r="A51" s="22" t="s">
        <v>193</v>
      </c>
      <c r="B51" s="22" t="s">
        <v>200</v>
      </c>
      <c r="C51" s="23"/>
      <c r="D51" s="24" t="s">
        <v>201</v>
      </c>
    </row>
    <row r="52" customFormat="false" ht="15" hidden="false" customHeight="false" outlineLevel="0" collapsed="false">
      <c r="A52" s="17"/>
      <c r="B52" s="17"/>
      <c r="C52" s="17"/>
      <c r="D52" s="17"/>
    </row>
    <row r="53" customFormat="false" ht="15" hidden="false" customHeight="false" outlineLevel="0" collapsed="false">
      <c r="A53" s="17"/>
      <c r="B53" s="17"/>
      <c r="C53" s="17"/>
      <c r="D53" s="17"/>
    </row>
    <row r="54" customFormat="false" ht="15" hidden="false" customHeight="false" outlineLevel="0" collapsed="false">
      <c r="A54" s="17"/>
      <c r="B54" s="17"/>
      <c r="C54" s="17"/>
      <c r="D54" s="17"/>
    </row>
    <row r="55" customFormat="false" ht="15" hidden="false" customHeight="false" outlineLevel="0" collapsed="false">
      <c r="A55" s="17"/>
      <c r="B55" s="17"/>
      <c r="C55" s="17"/>
      <c r="D55" s="17"/>
    </row>
    <row r="56" customFormat="false" ht="15" hidden="false" customHeight="false" outlineLevel="0" collapsed="false">
      <c r="A56" s="17"/>
      <c r="B56" s="17"/>
      <c r="C56" s="17"/>
      <c r="D56" s="17"/>
    </row>
    <row r="57" customFormat="false" ht="15" hidden="false" customHeight="false" outlineLevel="0" collapsed="false">
      <c r="A57" s="17"/>
      <c r="B57" s="17"/>
      <c r="C57" s="17"/>
      <c r="D57" s="17"/>
    </row>
    <row r="58" customFormat="false" ht="15" hidden="false" customHeight="false" outlineLevel="0" collapsed="false">
      <c r="A58" s="17"/>
      <c r="B58" s="17"/>
      <c r="C58" s="17"/>
      <c r="D58" s="17"/>
    </row>
    <row r="59" customFormat="false" ht="15" hidden="false" customHeight="false" outlineLevel="0" collapsed="false">
      <c r="A59" s="17"/>
      <c r="B59" s="17"/>
      <c r="C59" s="17"/>
      <c r="D59" s="17"/>
    </row>
    <row r="60" customFormat="false" ht="15" hidden="false" customHeight="false" outlineLevel="0" collapsed="false">
      <c r="A60" s="17"/>
      <c r="B60" s="17"/>
      <c r="C60" s="17"/>
      <c r="D60" s="17"/>
    </row>
    <row r="61" customFormat="false" ht="15" hidden="false" customHeight="false" outlineLevel="0" collapsed="false">
      <c r="A61" s="17"/>
      <c r="B61" s="17"/>
      <c r="C61" s="17"/>
      <c r="D6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4A"/>
    <pageSetUpPr fitToPage="fals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22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21.75" hidden="false" customHeight="true" outlineLevel="0" collapsed="false">
      <c r="A1" s="1" t="s">
        <v>202</v>
      </c>
    </row>
    <row r="2" customFormat="false" ht="31.5" hidden="false" customHeight="true" outlineLevel="0" collapsed="false">
      <c r="A2" s="14" t="s">
        <v>203</v>
      </c>
    </row>
    <row r="3" customFormat="false" ht="15" hidden="false" customHeight="false" outlineLevel="0" collapsed="false">
      <c r="A3" s="4" t="s">
        <v>204</v>
      </c>
    </row>
    <row r="4" customFormat="false" ht="37.5" hidden="false" customHeight="true" outlineLevel="0" collapsed="false">
      <c r="A4" s="11" t="s">
        <v>205</v>
      </c>
      <c r="B4" s="11" t="s">
        <v>44</v>
      </c>
      <c r="C4" s="11" t="s">
        <v>206</v>
      </c>
      <c r="D4" s="11" t="s">
        <v>207</v>
      </c>
      <c r="E4" s="11" t="s">
        <v>208</v>
      </c>
      <c r="F4" s="11" t="s">
        <v>209</v>
      </c>
      <c r="G4" s="11" t="s">
        <v>210</v>
      </c>
      <c r="H4" s="11" t="s">
        <v>211</v>
      </c>
      <c r="I4" s="11" t="s">
        <v>68</v>
      </c>
      <c r="J4" s="11" t="s">
        <v>212</v>
      </c>
    </row>
    <row r="5" customFormat="false" ht="30" hidden="false" customHeight="true" outlineLevel="0" collapsed="false">
      <c r="A5" s="15" t="s">
        <v>213</v>
      </c>
      <c r="B5" s="15" t="s">
        <v>76</v>
      </c>
      <c r="C5" s="15" t="s">
        <v>214</v>
      </c>
      <c r="D5" s="15" t="s">
        <v>215</v>
      </c>
      <c r="E5" s="15" t="s">
        <v>76</v>
      </c>
      <c r="F5" s="15" t="s">
        <v>76</v>
      </c>
      <c r="G5" s="15" t="s">
        <v>216</v>
      </c>
      <c r="H5" s="15" t="s">
        <v>217</v>
      </c>
      <c r="I5" s="15" t="s">
        <v>76</v>
      </c>
      <c r="J5" s="15" t="s">
        <v>218</v>
      </c>
    </row>
    <row r="6" customFormat="false" ht="15" hidden="false" customHeight="false" outlineLevel="0" collapsed="false">
      <c r="A6" s="16" t="s">
        <v>219</v>
      </c>
      <c r="B6" s="16" t="s">
        <v>87</v>
      </c>
      <c r="C6" s="16" t="s">
        <v>220</v>
      </c>
      <c r="D6" s="16" t="s">
        <v>221</v>
      </c>
      <c r="E6" s="16" t="s">
        <v>222</v>
      </c>
      <c r="F6" s="16" t="s">
        <v>223</v>
      </c>
      <c r="G6" s="16" t="s">
        <v>224</v>
      </c>
      <c r="H6" s="16" t="s">
        <v>225</v>
      </c>
      <c r="I6" s="16" t="s">
        <v>226</v>
      </c>
      <c r="J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</row>
  </sheetData>
  <dataValidations count="4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Bloom" promptTitle="Bloom" showDropDown="false" showErrorMessage="false" showInputMessage="false" sqref="E6:E500" type="list">
      <formula1>Bloom</formula1>
      <formula2>0</formula2>
    </dataValidation>
    <dataValidation allowBlank="true" error="Pick from the list or extend on the Lookups tab." errorStyle="stop" errorTitle="Not in list" operator="between" prompt="Choose from DOK" promptTitle="DOK" showDropDown="false" showErrorMessage="false" showInputMessage="false" sqref="F6:F500" type="list">
      <formula1>DOK</formula1>
      <formula2>0</formula2>
    </dataValidation>
    <dataValidation allowBlank="true" error="Pick from the list or extend on the Lookups tab." errorStyle="stop" errorTitle="Not in list" operator="between" prompt="Choose from Status_Generic" promptTitle="Status_Generic" showDropDown="false" showErrorMessage="false" showInputMessage="false" sqref="I6:I500" type="list">
      <formula1>Status_Generic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4A"/>
    <pageSetUpPr fitToPage="false"/>
  </sheetPr>
  <dimension ref="A1:X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3" min="12" style="0" width="18"/>
    <col collapsed="false" customWidth="true" hidden="false" outlineLevel="0" max="14" min="14" style="0" width="10"/>
    <col collapsed="false" customWidth="true" hidden="false" outlineLevel="0" max="15" min="15" style="0" width="22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9" min="18" style="0" width="16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28"/>
  </cols>
  <sheetData>
    <row r="1" customFormat="false" ht="21.75" hidden="false" customHeight="true" outlineLevel="0" collapsed="false">
      <c r="A1" s="1" t="s">
        <v>228</v>
      </c>
    </row>
    <row r="2" customFormat="false" ht="31.5" hidden="false" customHeight="true" outlineLevel="0" collapsed="false">
      <c r="A2" s="14" t="s">
        <v>229</v>
      </c>
    </row>
    <row r="3" customFormat="false" ht="15" hidden="false" customHeight="false" outlineLevel="0" collapsed="false">
      <c r="A3" s="4" t="s">
        <v>230</v>
      </c>
    </row>
    <row r="4" customFormat="false" ht="37.5" hidden="false" customHeight="true" outlineLevel="0" collapsed="false">
      <c r="A4" s="11" t="s">
        <v>231</v>
      </c>
      <c r="B4" s="11" t="s">
        <v>44</v>
      </c>
      <c r="C4" s="11" t="s">
        <v>232</v>
      </c>
      <c r="D4" s="11" t="s">
        <v>233</v>
      </c>
      <c r="E4" s="11" t="s">
        <v>234</v>
      </c>
      <c r="F4" s="11" t="s">
        <v>235</v>
      </c>
      <c r="G4" s="11" t="s">
        <v>236</v>
      </c>
      <c r="H4" s="11" t="s">
        <v>237</v>
      </c>
      <c r="I4" s="11" t="s">
        <v>238</v>
      </c>
      <c r="J4" s="11" t="s">
        <v>239</v>
      </c>
      <c r="K4" s="11" t="s">
        <v>240</v>
      </c>
      <c r="L4" s="11" t="s">
        <v>241</v>
      </c>
      <c r="M4" s="11" t="s">
        <v>242</v>
      </c>
      <c r="N4" s="11" t="s">
        <v>209</v>
      </c>
      <c r="O4" s="11" t="s">
        <v>243</v>
      </c>
      <c r="P4" s="11" t="s">
        <v>244</v>
      </c>
      <c r="Q4" s="11" t="s">
        <v>245</v>
      </c>
      <c r="R4" s="11" t="s">
        <v>246</v>
      </c>
      <c r="S4" s="11" t="s">
        <v>247</v>
      </c>
      <c r="T4" s="11" t="s">
        <v>68</v>
      </c>
      <c r="U4" s="11" t="s">
        <v>248</v>
      </c>
      <c r="V4" s="11" t="s">
        <v>249</v>
      </c>
      <c r="W4" s="11" t="s">
        <v>250</v>
      </c>
      <c r="X4" s="11" t="s">
        <v>212</v>
      </c>
    </row>
    <row r="5" customFormat="false" ht="30" hidden="false" customHeight="true" outlineLevel="0" collapsed="false">
      <c r="A5" s="15" t="s">
        <v>251</v>
      </c>
      <c r="B5" s="15" t="s">
        <v>76</v>
      </c>
      <c r="C5" s="15" t="s">
        <v>252</v>
      </c>
      <c r="D5" s="15" t="s">
        <v>253</v>
      </c>
      <c r="E5" s="15" t="s">
        <v>76</v>
      </c>
      <c r="F5" s="15" t="s">
        <v>254</v>
      </c>
      <c r="G5" s="15" t="s">
        <v>255</v>
      </c>
      <c r="H5" s="15" t="s">
        <v>256</v>
      </c>
      <c r="I5" s="15" t="s">
        <v>257</v>
      </c>
      <c r="J5" s="15" t="s">
        <v>258</v>
      </c>
      <c r="K5" s="15" t="s">
        <v>259</v>
      </c>
      <c r="L5" s="15" t="s">
        <v>260</v>
      </c>
      <c r="M5" s="15" t="s">
        <v>216</v>
      </c>
      <c r="N5" s="15" t="s">
        <v>76</v>
      </c>
      <c r="O5" s="15" t="s">
        <v>76</v>
      </c>
      <c r="P5" s="15" t="s">
        <v>76</v>
      </c>
      <c r="Q5" s="15" t="s">
        <v>80</v>
      </c>
      <c r="R5" s="15" t="s">
        <v>261</v>
      </c>
      <c r="S5" s="15" t="s">
        <v>261</v>
      </c>
      <c r="T5" s="15" t="s">
        <v>76</v>
      </c>
      <c r="U5" s="15" t="s">
        <v>262</v>
      </c>
      <c r="V5" s="15" t="s">
        <v>80</v>
      </c>
      <c r="W5" s="15" t="s">
        <v>80</v>
      </c>
      <c r="X5" s="15" t="s">
        <v>263</v>
      </c>
    </row>
    <row r="6" customFormat="false" ht="15" hidden="false" customHeight="false" outlineLevel="0" collapsed="false">
      <c r="A6" s="16" t="s">
        <v>264</v>
      </c>
      <c r="B6" s="16" t="s">
        <v>87</v>
      </c>
      <c r="C6" s="16" t="s">
        <v>225</v>
      </c>
      <c r="D6" s="16" t="s">
        <v>223</v>
      </c>
      <c r="E6" s="16" t="s">
        <v>265</v>
      </c>
      <c r="F6" s="16" t="s">
        <v>266</v>
      </c>
      <c r="G6" s="16" t="s">
        <v>267</v>
      </c>
      <c r="H6" s="16" t="s">
        <v>268</v>
      </c>
      <c r="I6" s="16"/>
      <c r="J6" s="16"/>
      <c r="K6" s="16" t="s">
        <v>269</v>
      </c>
      <c r="L6" s="16" t="s">
        <v>219</v>
      </c>
      <c r="M6" s="16"/>
      <c r="N6" s="16" t="s">
        <v>270</v>
      </c>
      <c r="O6" s="16" t="s">
        <v>271</v>
      </c>
      <c r="P6" s="16" t="s">
        <v>33</v>
      </c>
      <c r="Q6" s="16" t="s">
        <v>99</v>
      </c>
      <c r="R6" s="16" t="s">
        <v>39</v>
      </c>
      <c r="S6" s="16" t="s">
        <v>39</v>
      </c>
      <c r="T6" s="16" t="s">
        <v>40</v>
      </c>
      <c r="U6" s="16" t="s">
        <v>272</v>
      </c>
      <c r="V6" s="16" t="s">
        <v>99</v>
      </c>
      <c r="W6" s="16" t="s">
        <v>99</v>
      </c>
      <c r="X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</sheetData>
  <dataValidations count="9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Asset_Type" promptTitle="Asset_Type" showDropDown="false" showErrorMessage="false" showInputMessage="false" sqref="E6:E500" type="list">
      <formula1>Asset_Type</formula1>
      <formula2>0</formula2>
    </dataValidation>
    <dataValidation allowBlank="true" error="Pick from the list or extend on the Lookups tab." errorStyle="stop" errorTitle="Not in list" operator="between" prompt="Choose from Source" promptTitle="Source" showDropDown="false" showErrorMessage="false" showInputMessage="false" sqref="H6:H500" type="list">
      <formula1>Source</formula1>
      <formula2>0</formula2>
    </dataValidation>
    <dataValidation allowBlank="true" error="Pick from the list or extend on the Lookups tab." errorStyle="stop" errorTitle="Not in list" operator="between" prompt="Choose from DOK" promptTitle="DOK" showDropDown="false" showErrorMessage="false" showInputMessage="false" sqref="N6:N500" type="list">
      <formula1>DOK</formula1>
      <formula2>0</formula2>
    </dataValidation>
    <dataValidation allowBlank="true" error="Pick from the list or extend on the Lookups tab." errorStyle="stop" errorTitle="Not in list" operator="between" prompt="Choose from RSI_Category" promptTitle="RSI_Category" showDropDown="false" showErrorMessage="false" showInputMessage="false" sqref="O6:O500" type="list">
      <formula1>RSI_Category</formula1>
      <formula2>0</formula2>
    </dataValidation>
    <dataValidation allowBlank="true" error="Pick from the list or extend on the Lookups tab." errorStyle="stop" errorTitle="Not in list" operator="between" prompt="Choose from Status_A11y" promptTitle="Status_A11y" showDropDown="false" showErrorMessage="false" showInputMessage="false" sqref="P6:P500" type="list">
      <formula1>Status_A11y</formula1>
      <formula2>0</formula2>
    </dataValidation>
    <dataValidation allowBlank="true" error="Pick from the list or extend on the Lookups tab." errorStyle="stop" errorTitle="Not in list" operator="between" prompt="Choose from YesNo" promptTitle="YesNo" showDropDown="false" showErrorMessage="false" showInputMessage="false" sqref="R6:R500" type="list">
      <formula1>YesNo</formula1>
      <formula2>0</formula2>
    </dataValidation>
    <dataValidation allowBlank="true" error="Pick from the list or extend on the Lookups tab." errorStyle="stop" errorTitle="Not in list" operator="between" prompt="Choose from YesNo" promptTitle="YesNo" showDropDown="false" showErrorMessage="false" showInputMessage="false" sqref="S6:S500" type="list">
      <formula1>YesNo</formula1>
      <formula2>0</formula2>
    </dataValidation>
    <dataValidation allowBlank="true" error="Pick from the list or extend on the Lookups tab." errorStyle="stop" errorTitle="Not in list" operator="between" prompt="Choose from Status_Asset" promptTitle="Status_Asset" showDropDown="false" showErrorMessage="false" showInputMessage="false" sqref="T6:T500" type="list">
      <formula1>Status_Asset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4A"/>
    <pageSetUpPr fitToPage="false"/>
  </sheetPr>
  <dimension ref="A1:M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8" min="7" style="0" width="12"/>
    <col collapsed="false" customWidth="true" hidden="false" outlineLevel="0" max="11" min="9" style="0" width="22"/>
    <col collapsed="false" customWidth="true" hidden="false" outlineLevel="0" max="12" min="12" style="0" width="24"/>
    <col collapsed="false" customWidth="true" hidden="false" outlineLevel="0" max="13" min="13" style="0" width="28"/>
  </cols>
  <sheetData>
    <row r="1" customFormat="false" ht="21.75" hidden="false" customHeight="true" outlineLevel="0" collapsed="false">
      <c r="A1" s="1" t="s">
        <v>273</v>
      </c>
    </row>
    <row r="2" customFormat="false" ht="31.5" hidden="false" customHeight="true" outlineLevel="0" collapsed="false">
      <c r="A2" s="14" t="s">
        <v>274</v>
      </c>
    </row>
    <row r="3" customFormat="false" ht="15" hidden="false" customHeight="false" outlineLevel="0" collapsed="false">
      <c r="A3" s="4" t="s">
        <v>275</v>
      </c>
    </row>
    <row r="4" customFormat="false" ht="37.5" hidden="false" customHeight="true" outlineLevel="0" collapsed="false">
      <c r="A4" s="11" t="s">
        <v>44</v>
      </c>
      <c r="B4" s="11" t="s">
        <v>233</v>
      </c>
      <c r="C4" s="11" t="s">
        <v>276</v>
      </c>
      <c r="D4" s="11" t="s">
        <v>277</v>
      </c>
      <c r="E4" s="11" t="s">
        <v>206</v>
      </c>
      <c r="F4" s="11" t="s">
        <v>278</v>
      </c>
      <c r="G4" s="11" t="s">
        <v>279</v>
      </c>
      <c r="H4" s="11" t="s">
        <v>280</v>
      </c>
      <c r="I4" s="11" t="s">
        <v>281</v>
      </c>
      <c r="J4" s="11" t="s">
        <v>282</v>
      </c>
      <c r="K4" s="11" t="s">
        <v>283</v>
      </c>
      <c r="L4" s="11" t="s">
        <v>284</v>
      </c>
      <c r="M4" s="11" t="s">
        <v>212</v>
      </c>
    </row>
    <row r="5" customFormat="false" ht="30" hidden="false" customHeight="true" outlineLevel="0" collapsed="false">
      <c r="A5" s="15" t="s">
        <v>76</v>
      </c>
      <c r="B5" s="15" t="s">
        <v>78</v>
      </c>
      <c r="C5" s="15" t="s">
        <v>80</v>
      </c>
      <c r="D5" s="15" t="s">
        <v>285</v>
      </c>
      <c r="E5" s="15" t="s">
        <v>252</v>
      </c>
      <c r="F5" s="15" t="s">
        <v>286</v>
      </c>
      <c r="G5" s="15" t="s">
        <v>76</v>
      </c>
      <c r="H5" s="15" t="s">
        <v>287</v>
      </c>
      <c r="I5" s="15" t="s">
        <v>288</v>
      </c>
      <c r="J5" s="15" t="s">
        <v>289</v>
      </c>
      <c r="K5" s="15" t="s">
        <v>290</v>
      </c>
      <c r="L5" s="15" t="s">
        <v>291</v>
      </c>
      <c r="M5" s="15" t="s">
        <v>263</v>
      </c>
    </row>
    <row r="6" customFormat="false" ht="15" hidden="false" customHeight="false" outlineLevel="0" collapsed="false">
      <c r="A6" s="16" t="s">
        <v>87</v>
      </c>
      <c r="B6" s="16" t="s">
        <v>223</v>
      </c>
      <c r="C6" s="16" t="s">
        <v>95</v>
      </c>
      <c r="D6" s="16" t="s">
        <v>292</v>
      </c>
      <c r="E6" s="16" t="s">
        <v>225</v>
      </c>
      <c r="F6" s="16" t="s">
        <v>293</v>
      </c>
      <c r="G6" s="16" t="s">
        <v>91</v>
      </c>
      <c r="H6" s="16" t="s">
        <v>294</v>
      </c>
      <c r="I6" s="16" t="s">
        <v>264</v>
      </c>
      <c r="J6" s="16"/>
      <c r="K6" s="16"/>
      <c r="L6" s="16" t="s">
        <v>295</v>
      </c>
      <c r="M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</sheetData>
  <dataValidations count="3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A6:A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DoW" promptTitle="DoW" showDropDown="false" showErrorMessage="false" showInputMessage="false" sqref="D6:D500" type="list">
      <formula1>DoW</formula1>
      <formula2>0</formula2>
    </dataValidation>
    <dataValidation allowBlank="true" error="Pick from the list or extend on the Lookups tab." errorStyle="stop" errorTitle="Not in list" operator="between" prompt="Choose from Modality" promptTitle="Modality" showDropDown="false" showErrorMessage="false" showInputMessage="false" sqref="G6:G500" type="list">
      <formula1>Modality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4A"/>
    <pageSetUpPr fitToPage="false"/>
  </sheetPr>
  <dimension ref="A1:N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8" min="5" style="0" width="22"/>
    <col collapsed="false" customWidth="true" hidden="false" outlineLevel="0" max="9" min="9" style="0" width="18"/>
    <col collapsed="false" customWidth="true" hidden="false" outlineLevel="0" max="11" min="10" style="0" width="28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28"/>
  </cols>
  <sheetData>
    <row r="1" customFormat="false" ht="21.75" hidden="false" customHeight="true" outlineLevel="0" collapsed="false">
      <c r="A1" s="1" t="s">
        <v>296</v>
      </c>
    </row>
    <row r="2" customFormat="false" ht="31.5" hidden="false" customHeight="true" outlineLevel="0" collapsed="false">
      <c r="A2" s="14" t="s">
        <v>297</v>
      </c>
    </row>
    <row r="3" customFormat="false" ht="15" hidden="false" customHeight="false" outlineLevel="0" collapsed="false">
      <c r="A3" s="4" t="s">
        <v>298</v>
      </c>
    </row>
    <row r="4" customFormat="false" ht="37.5" hidden="false" customHeight="true" outlineLevel="0" collapsed="false">
      <c r="A4" s="11" t="s">
        <v>299</v>
      </c>
      <c r="B4" s="11" t="s">
        <v>44</v>
      </c>
      <c r="C4" s="11" t="s">
        <v>300</v>
      </c>
      <c r="D4" s="11" t="s">
        <v>301</v>
      </c>
      <c r="E4" s="11" t="s">
        <v>241</v>
      </c>
      <c r="F4" s="11" t="s">
        <v>281</v>
      </c>
      <c r="G4" s="11" t="s">
        <v>282</v>
      </c>
      <c r="H4" s="11" t="s">
        <v>283</v>
      </c>
      <c r="I4" s="11" t="s">
        <v>242</v>
      </c>
      <c r="J4" s="11" t="s">
        <v>302</v>
      </c>
      <c r="K4" s="11" t="s">
        <v>303</v>
      </c>
      <c r="L4" s="11" t="s">
        <v>304</v>
      </c>
      <c r="M4" s="11" t="s">
        <v>68</v>
      </c>
      <c r="N4" s="11" t="s">
        <v>212</v>
      </c>
    </row>
    <row r="5" customFormat="false" ht="30" hidden="false" customHeight="true" outlineLevel="0" collapsed="false">
      <c r="A5" s="15" t="s">
        <v>305</v>
      </c>
      <c r="B5" s="15" t="s">
        <v>76</v>
      </c>
      <c r="C5" s="15" t="s">
        <v>306</v>
      </c>
      <c r="D5" s="15" t="s">
        <v>307</v>
      </c>
      <c r="E5" s="15" t="s">
        <v>260</v>
      </c>
      <c r="F5" s="15" t="s">
        <v>308</v>
      </c>
      <c r="G5" s="15" t="s">
        <v>309</v>
      </c>
      <c r="H5" s="15" t="s">
        <v>310</v>
      </c>
      <c r="I5" s="15" t="s">
        <v>242</v>
      </c>
      <c r="J5" s="15" t="s">
        <v>311</v>
      </c>
      <c r="K5" s="15" t="s">
        <v>312</v>
      </c>
      <c r="L5" s="15" t="s">
        <v>313</v>
      </c>
      <c r="M5" s="15" t="s">
        <v>76</v>
      </c>
      <c r="N5" s="15" t="s">
        <v>263</v>
      </c>
    </row>
    <row r="6" customFormat="false" ht="15" hidden="false" customHeight="false" outlineLevel="0" collapsed="false">
      <c r="A6" s="16" t="s">
        <v>225</v>
      </c>
      <c r="B6" s="16" t="s">
        <v>87</v>
      </c>
      <c r="C6" s="16" t="s">
        <v>314</v>
      </c>
      <c r="D6" s="16" t="s">
        <v>223</v>
      </c>
      <c r="E6" s="16" t="s">
        <v>219</v>
      </c>
      <c r="F6" s="16" t="s">
        <v>264</v>
      </c>
      <c r="G6" s="16"/>
      <c r="H6" s="16"/>
      <c r="I6" s="16" t="s">
        <v>224</v>
      </c>
      <c r="J6" s="16" t="s">
        <v>315</v>
      </c>
      <c r="K6" s="16" t="s">
        <v>316</v>
      </c>
      <c r="L6" s="16" t="s">
        <v>93</v>
      </c>
      <c r="M6" s="16" t="s">
        <v>226</v>
      </c>
      <c r="N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dataValidations count="2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Status_Generic" promptTitle="Status_Generic" showDropDown="false" showErrorMessage="false" showInputMessage="false" sqref="M6:M500" type="list">
      <formula1>Status_Generic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734D"/>
    <pageSetUpPr fitToPage="false"/>
  </sheetPr>
  <dimension ref="A1:N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7" min="6" style="0" width="10"/>
    <col collapsed="false" customWidth="true" hidden="false" outlineLevel="0" max="9" min="8" style="0" width="28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28"/>
  </cols>
  <sheetData>
    <row r="1" customFormat="false" ht="21.75" hidden="false" customHeight="true" outlineLevel="0" collapsed="false">
      <c r="A1" s="1" t="s">
        <v>317</v>
      </c>
    </row>
    <row r="2" customFormat="false" ht="31.5" hidden="false" customHeight="true" outlineLevel="0" collapsed="false">
      <c r="A2" s="14" t="s">
        <v>49</v>
      </c>
    </row>
    <row r="3" customFormat="false" ht="15" hidden="false" customHeight="false" outlineLevel="0" collapsed="false">
      <c r="A3" s="4" t="s">
        <v>318</v>
      </c>
    </row>
    <row r="4" customFormat="false" ht="37.5" hidden="false" customHeight="true" outlineLevel="0" collapsed="false">
      <c r="A4" s="11" t="s">
        <v>319</v>
      </c>
      <c r="B4" s="11" t="s">
        <v>44</v>
      </c>
      <c r="C4" s="11" t="s">
        <v>232</v>
      </c>
      <c r="D4" s="11" t="s">
        <v>320</v>
      </c>
      <c r="E4" s="11" t="s">
        <v>235</v>
      </c>
      <c r="F4" s="11" t="s">
        <v>321</v>
      </c>
      <c r="G4" s="11" t="s">
        <v>209</v>
      </c>
      <c r="H4" s="11" t="s">
        <v>322</v>
      </c>
      <c r="I4" s="11" t="s">
        <v>323</v>
      </c>
      <c r="J4" s="11" t="s">
        <v>241</v>
      </c>
      <c r="K4" s="11" t="s">
        <v>324</v>
      </c>
      <c r="L4" s="11" t="s">
        <v>68</v>
      </c>
      <c r="M4" s="11" t="s">
        <v>248</v>
      </c>
      <c r="N4" s="11" t="s">
        <v>212</v>
      </c>
    </row>
    <row r="5" customFormat="false" ht="30" hidden="false" customHeight="true" outlineLevel="0" collapsed="false">
      <c r="A5" s="15" t="s">
        <v>325</v>
      </c>
      <c r="B5" s="15" t="s">
        <v>76</v>
      </c>
      <c r="C5" s="15" t="s">
        <v>299</v>
      </c>
      <c r="D5" s="15" t="s">
        <v>76</v>
      </c>
      <c r="E5" s="15" t="s">
        <v>326</v>
      </c>
      <c r="F5" s="15" t="s">
        <v>327</v>
      </c>
      <c r="G5" s="15" t="s">
        <v>76</v>
      </c>
      <c r="H5" s="15" t="s">
        <v>328</v>
      </c>
      <c r="I5" s="15" t="s">
        <v>329</v>
      </c>
      <c r="J5" s="15" t="s">
        <v>260</v>
      </c>
      <c r="K5" s="15" t="s">
        <v>330</v>
      </c>
      <c r="L5" s="15" t="s">
        <v>76</v>
      </c>
      <c r="M5" s="15" t="s">
        <v>331</v>
      </c>
      <c r="N5" s="15" t="s">
        <v>263</v>
      </c>
    </row>
    <row r="6" customFormat="false" ht="15" hidden="false" customHeight="false" outlineLevel="0" collapsed="false">
      <c r="A6" s="16" t="s">
        <v>224</v>
      </c>
      <c r="B6" s="16" t="s">
        <v>87</v>
      </c>
      <c r="C6" s="16" t="s">
        <v>225</v>
      </c>
      <c r="D6" s="16" t="s">
        <v>332</v>
      </c>
      <c r="E6" s="16" t="s">
        <v>333</v>
      </c>
      <c r="F6" s="16" t="s">
        <v>334</v>
      </c>
      <c r="G6" s="16" t="s">
        <v>270</v>
      </c>
      <c r="H6" s="16" t="s">
        <v>335</v>
      </c>
      <c r="I6" s="16"/>
      <c r="J6" s="16" t="s">
        <v>219</v>
      </c>
      <c r="K6" s="16" t="s">
        <v>336</v>
      </c>
      <c r="L6" s="16" t="s">
        <v>34</v>
      </c>
      <c r="M6" s="16" t="s">
        <v>272</v>
      </c>
      <c r="N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dataValidations count="4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Assessment_Type" promptTitle="Assessment_Type" showDropDown="false" showErrorMessage="false" showInputMessage="false" sqref="D6:D500" type="list">
      <formula1>Assessment_Type</formula1>
      <formula2>0</formula2>
    </dataValidation>
    <dataValidation allowBlank="true" error="Pick from the list or extend on the Lookups tab." errorStyle="stop" errorTitle="Not in list" operator="between" prompt="Choose from DOK" promptTitle="DOK" showDropDown="false" showErrorMessage="false" showInputMessage="false" sqref="G6:G500" type="list">
      <formula1>DOK</formula1>
      <formula2>0</formula2>
    </dataValidation>
    <dataValidation allowBlank="true" error="Pick from the list or extend on the Lookups tab." errorStyle="stop" errorTitle="Not in list" operator="between" prompt="Choose from Status_Generic" promptTitle="Status_Generic" showDropDown="false" showErrorMessage="false" showInputMessage="false" sqref="L6:L500" type="list">
      <formula1>Status_Generic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734D"/>
    <pageSetUpPr fitToPage="false"/>
  </sheetPr>
  <dimension ref="A1:K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21.75" hidden="false" customHeight="true" outlineLevel="0" collapsed="false">
      <c r="A1" s="1" t="s">
        <v>337</v>
      </c>
    </row>
    <row r="2" customFormat="false" ht="31.5" hidden="false" customHeight="true" outlineLevel="0" collapsed="false">
      <c r="A2" s="14" t="s">
        <v>338</v>
      </c>
    </row>
    <row r="3" customFormat="false" ht="15" hidden="false" customHeight="false" outlineLevel="0" collapsed="false">
      <c r="A3" s="4" t="s">
        <v>339</v>
      </c>
    </row>
    <row r="4" customFormat="false" ht="37.5" hidden="false" customHeight="true" outlineLevel="0" collapsed="false">
      <c r="A4" s="11" t="s">
        <v>340</v>
      </c>
      <c r="B4" s="11" t="s">
        <v>44</v>
      </c>
      <c r="C4" s="11" t="s">
        <v>232</v>
      </c>
      <c r="D4" s="11" t="s">
        <v>341</v>
      </c>
      <c r="E4" s="11" t="s">
        <v>342</v>
      </c>
      <c r="F4" s="11" t="s">
        <v>343</v>
      </c>
      <c r="G4" s="11" t="s">
        <v>231</v>
      </c>
      <c r="H4" s="11" t="s">
        <v>344</v>
      </c>
      <c r="I4" s="11" t="s">
        <v>345</v>
      </c>
      <c r="J4" s="11" t="s">
        <v>68</v>
      </c>
      <c r="K4" s="11" t="s">
        <v>212</v>
      </c>
    </row>
    <row r="5" customFormat="false" ht="30" hidden="false" customHeight="true" outlineLevel="0" collapsed="false">
      <c r="A5" s="15" t="s">
        <v>346</v>
      </c>
      <c r="B5" s="15" t="s">
        <v>76</v>
      </c>
      <c r="C5" s="15" t="s">
        <v>299</v>
      </c>
      <c r="D5" s="15" t="s">
        <v>347</v>
      </c>
      <c r="E5" s="15" t="s">
        <v>76</v>
      </c>
      <c r="F5" s="15" t="s">
        <v>348</v>
      </c>
      <c r="G5" s="15" t="s">
        <v>349</v>
      </c>
      <c r="H5" s="15" t="s">
        <v>350</v>
      </c>
      <c r="I5" s="15" t="s">
        <v>351</v>
      </c>
      <c r="J5" s="15" t="s">
        <v>76</v>
      </c>
      <c r="K5" s="15" t="s">
        <v>263</v>
      </c>
    </row>
    <row r="6" customFormat="false" ht="15" hidden="false" customHeight="false" outlineLevel="0" collapsed="false">
      <c r="A6" s="16" t="s">
        <v>352</v>
      </c>
      <c r="B6" s="16" t="s">
        <v>87</v>
      </c>
      <c r="C6" s="16" t="s">
        <v>225</v>
      </c>
      <c r="D6" s="16" t="s">
        <v>353</v>
      </c>
      <c r="E6" s="16" t="s">
        <v>316</v>
      </c>
      <c r="F6" s="16" t="s">
        <v>354</v>
      </c>
      <c r="G6" s="16"/>
      <c r="H6" s="16"/>
      <c r="I6" s="16" t="s">
        <v>219</v>
      </c>
      <c r="J6" s="16" t="s">
        <v>226</v>
      </c>
      <c r="K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</sheetData>
  <dataValidations count="3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Engagement_Type" promptTitle="Engagement_Type" showDropDown="false" showErrorMessage="false" showInputMessage="false" sqref="E6:E500" type="list">
      <formula1>Engagement_Type</formula1>
      <formula2>0</formula2>
    </dataValidation>
    <dataValidation allowBlank="true" error="Pick from the list or extend on the Lookups tab." errorStyle="stop" errorTitle="Not in list" operator="between" prompt="Choose from Status_Generic" promptTitle="Status_Generic" showDropDown="false" showErrorMessage="false" showInputMessage="false" sqref="J6:J500" type="list">
      <formula1>Status_Generic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R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5" min="12" style="0" width="12"/>
    <col collapsed="false" customWidth="true" hidden="false" outlineLevel="0" max="16" min="16" style="0" width="18"/>
    <col collapsed="false" customWidth="true" hidden="false" outlineLevel="0" max="17" min="17" style="0" width="30"/>
    <col collapsed="false" customWidth="true" hidden="false" outlineLevel="0" max="18" min="18" style="0" width="28"/>
  </cols>
  <sheetData>
    <row r="1" customFormat="false" ht="21.75" hidden="false" customHeight="true" outlineLevel="0" collapsed="false">
      <c r="A1" s="1" t="s">
        <v>355</v>
      </c>
    </row>
    <row r="2" customFormat="false" ht="31.5" hidden="false" customHeight="true" outlineLevel="0" collapsed="false">
      <c r="A2" s="14" t="s">
        <v>356</v>
      </c>
    </row>
    <row r="3" customFormat="false" ht="15" hidden="false" customHeight="false" outlineLevel="0" collapsed="false">
      <c r="A3" s="4" t="s">
        <v>357</v>
      </c>
    </row>
    <row r="4" customFormat="false" ht="37.5" hidden="false" customHeight="true" outlineLevel="0" collapsed="false">
      <c r="A4" s="11" t="s">
        <v>358</v>
      </c>
      <c r="B4" s="11" t="s">
        <v>44</v>
      </c>
      <c r="C4" s="11" t="s">
        <v>231</v>
      </c>
      <c r="D4" s="11" t="s">
        <v>359</v>
      </c>
      <c r="E4" s="11" t="s">
        <v>360</v>
      </c>
      <c r="F4" s="11" t="s">
        <v>361</v>
      </c>
      <c r="G4" s="11" t="s">
        <v>68</v>
      </c>
      <c r="H4" s="11" t="s">
        <v>362</v>
      </c>
      <c r="I4" s="11" t="s">
        <v>363</v>
      </c>
      <c r="J4" s="11" t="s">
        <v>364</v>
      </c>
      <c r="K4" s="11" t="s">
        <v>365</v>
      </c>
      <c r="L4" s="11" t="s">
        <v>366</v>
      </c>
      <c r="M4" s="11" t="s">
        <v>367</v>
      </c>
      <c r="N4" s="11" t="s">
        <v>368</v>
      </c>
      <c r="O4" s="11" t="s">
        <v>369</v>
      </c>
      <c r="P4" s="11" t="s">
        <v>370</v>
      </c>
      <c r="Q4" s="11" t="s">
        <v>371</v>
      </c>
      <c r="R4" s="11" t="s">
        <v>212</v>
      </c>
    </row>
    <row r="5" customFormat="false" ht="30" hidden="false" customHeight="true" outlineLevel="0" collapsed="false">
      <c r="A5" s="15" t="s">
        <v>372</v>
      </c>
      <c r="B5" s="15" t="s">
        <v>76</v>
      </c>
      <c r="C5" s="15" t="s">
        <v>231</v>
      </c>
      <c r="D5" s="15" t="s">
        <v>373</v>
      </c>
      <c r="E5" s="15" t="s">
        <v>374</v>
      </c>
      <c r="F5" s="15" t="s">
        <v>76</v>
      </c>
      <c r="G5" s="15" t="s">
        <v>76</v>
      </c>
      <c r="H5" s="15" t="s">
        <v>375</v>
      </c>
      <c r="I5" s="15" t="s">
        <v>376</v>
      </c>
      <c r="J5" s="15" t="s">
        <v>76</v>
      </c>
      <c r="K5" s="15" t="s">
        <v>76</v>
      </c>
      <c r="L5" s="15" t="s">
        <v>76</v>
      </c>
      <c r="M5" s="15" t="s">
        <v>76</v>
      </c>
      <c r="N5" s="15" t="s">
        <v>76</v>
      </c>
      <c r="O5" s="15" t="s">
        <v>80</v>
      </c>
      <c r="P5" s="15" t="s">
        <v>377</v>
      </c>
      <c r="Q5" s="15" t="s">
        <v>378</v>
      </c>
      <c r="R5" s="15" t="s">
        <v>263</v>
      </c>
    </row>
    <row r="6" customFormat="false" ht="15" hidden="false" customHeight="false" outlineLevel="0" collapsed="false">
      <c r="A6" s="16" t="s">
        <v>379</v>
      </c>
      <c r="B6" s="16" t="s">
        <v>87</v>
      </c>
      <c r="C6" s="16" t="s">
        <v>264</v>
      </c>
      <c r="D6" s="16" t="s">
        <v>380</v>
      </c>
      <c r="E6" s="16" t="s">
        <v>381</v>
      </c>
      <c r="F6" s="16" t="s">
        <v>382</v>
      </c>
      <c r="G6" s="16" t="s">
        <v>33</v>
      </c>
      <c r="H6" s="16" t="s">
        <v>383</v>
      </c>
      <c r="I6" s="16" t="s">
        <v>384</v>
      </c>
      <c r="J6" s="16" t="s">
        <v>385</v>
      </c>
      <c r="K6" s="16" t="s">
        <v>385</v>
      </c>
      <c r="L6" s="16" t="s">
        <v>385</v>
      </c>
      <c r="M6" s="16" t="s">
        <v>385</v>
      </c>
      <c r="N6" s="16" t="s">
        <v>385</v>
      </c>
      <c r="O6" s="16" t="s">
        <v>99</v>
      </c>
      <c r="P6" s="16" t="s">
        <v>370</v>
      </c>
      <c r="Q6" s="16"/>
      <c r="R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</row>
  </sheetData>
  <dataValidations count="8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WCAG_Target" promptTitle="WCAG_Target" showDropDown="false" showErrorMessage="false" showInputMessage="false" sqref="F6:F500" type="list">
      <formula1>WCAG_Target</formula1>
      <formula2>0</formula2>
    </dataValidation>
    <dataValidation allowBlank="true" error="Pick from the list or extend on the Lookups tab." errorStyle="stop" errorTitle="Not in list" operator="between" prompt="Choose from Status_A11y" promptTitle="Status_A11y" showDropDown="false" showErrorMessage="false" showInputMessage="false" sqref="G6:G500" type="list">
      <formula1>Status_A11y</formula1>
      <formula2>0</formula2>
    </dataValidation>
    <dataValidation allowBlank="true" error="Pick from the list or extend on the Lookups tab." errorStyle="stop" errorTitle="Not in list" operator="between" prompt="Choose from YesNo" promptTitle="YesNo" showDropDown="false" showErrorMessage="false" showInputMessage="false" sqref="J6:J500" type="list">
      <formula1>YesNo</formula1>
      <formula2>0</formula2>
    </dataValidation>
    <dataValidation allowBlank="true" error="Pick from the list or extend on the Lookups tab." errorStyle="stop" errorTitle="Not in list" operator="between" prompt="Choose from YesNo" promptTitle="YesNo" showDropDown="false" showErrorMessage="false" showInputMessage="false" sqref="K6:K500" type="list">
      <formula1>YesNo</formula1>
      <formula2>0</formula2>
    </dataValidation>
    <dataValidation allowBlank="true" error="Pick from the list or extend on the Lookups tab." errorStyle="stop" errorTitle="Not in list" operator="between" prompt="Choose from YesNo" promptTitle="YesNo" showDropDown="false" showErrorMessage="false" showInputMessage="false" sqref="L6:L500" type="list">
      <formula1>YesNo</formula1>
      <formula2>0</formula2>
    </dataValidation>
    <dataValidation allowBlank="true" error="Pick from the list or extend on the Lookups tab." errorStyle="stop" errorTitle="Not in list" operator="between" prompt="Choose from YesNo" promptTitle="YesNo" showDropDown="false" showErrorMessage="false" showInputMessage="false" sqref="M6:M500" type="list">
      <formula1>YesNo</formula1>
      <formula2>0</formula2>
    </dataValidation>
    <dataValidation allowBlank="true" error="Pick from the list or extend on the Lookups tab." errorStyle="stop" errorTitle="Not in list" operator="between" prompt="Choose from YesNo" promptTitle="YesNo" showDropDown="false" showErrorMessage="false" showInputMessage="false" sqref="N6:N500" type="list">
      <formula1>YesNo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K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21.75" hidden="false" customHeight="true" outlineLevel="0" collapsed="false">
      <c r="A1" s="1" t="s">
        <v>386</v>
      </c>
    </row>
    <row r="2" customFormat="false" ht="31.5" hidden="false" customHeight="true" outlineLevel="0" collapsed="false">
      <c r="A2" s="14" t="s">
        <v>387</v>
      </c>
    </row>
    <row r="3" customFormat="false" ht="15" hidden="false" customHeight="false" outlineLevel="0" collapsed="false">
      <c r="A3" s="4" t="s">
        <v>388</v>
      </c>
    </row>
    <row r="4" customFormat="false" ht="37.5" hidden="false" customHeight="true" outlineLevel="0" collapsed="false">
      <c r="A4" s="11" t="s">
        <v>389</v>
      </c>
      <c r="B4" s="11" t="s">
        <v>44</v>
      </c>
      <c r="C4" s="11" t="s">
        <v>232</v>
      </c>
      <c r="D4" s="11" t="s">
        <v>233</v>
      </c>
      <c r="E4" s="11" t="s">
        <v>390</v>
      </c>
      <c r="F4" s="11" t="s">
        <v>391</v>
      </c>
      <c r="G4" s="11" t="s">
        <v>343</v>
      </c>
      <c r="H4" s="11" t="s">
        <v>344</v>
      </c>
      <c r="I4" s="11" t="s">
        <v>248</v>
      </c>
      <c r="J4" s="11" t="s">
        <v>68</v>
      </c>
      <c r="K4" s="11" t="s">
        <v>212</v>
      </c>
    </row>
    <row r="5" customFormat="false" ht="30" hidden="false" customHeight="true" outlineLevel="0" collapsed="false">
      <c r="A5" s="15" t="s">
        <v>392</v>
      </c>
      <c r="B5" s="15" t="s">
        <v>76</v>
      </c>
      <c r="C5" s="15" t="s">
        <v>299</v>
      </c>
      <c r="D5" s="15" t="s">
        <v>393</v>
      </c>
      <c r="E5" s="15" t="s">
        <v>76</v>
      </c>
      <c r="F5" s="15" t="s">
        <v>394</v>
      </c>
      <c r="G5" s="15" t="s">
        <v>395</v>
      </c>
      <c r="H5" s="15" t="s">
        <v>396</v>
      </c>
      <c r="I5" s="15" t="s">
        <v>397</v>
      </c>
      <c r="J5" s="15" t="s">
        <v>76</v>
      </c>
      <c r="K5" s="15" t="s">
        <v>263</v>
      </c>
    </row>
    <row r="6" customFormat="false" ht="15" hidden="false" customHeight="false" outlineLevel="0" collapsed="false">
      <c r="A6" s="16" t="s">
        <v>398</v>
      </c>
      <c r="B6" s="16" t="s">
        <v>87</v>
      </c>
      <c r="C6" s="16" t="s">
        <v>225</v>
      </c>
      <c r="D6" s="16" t="s">
        <v>223</v>
      </c>
      <c r="E6" s="16" t="s">
        <v>399</v>
      </c>
      <c r="F6" s="16" t="s">
        <v>400</v>
      </c>
      <c r="G6" s="16" t="s">
        <v>401</v>
      </c>
      <c r="H6" s="16"/>
      <c r="I6" s="16" t="s">
        <v>272</v>
      </c>
      <c r="J6" s="16" t="s">
        <v>226</v>
      </c>
      <c r="K6" s="16" t="s">
        <v>227</v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</sheetData>
  <dataValidations count="3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RSI_Category" promptTitle="RSI_Category" showDropDown="false" showErrorMessage="false" showInputMessage="false" sqref="E6:E500" type="list">
      <formula1>RSI_Category</formula1>
      <formula2>0</formula2>
    </dataValidation>
    <dataValidation allowBlank="true" error="Pick from the list or extend on the Lookups tab." errorStyle="stop" errorTitle="Not in list" operator="between" prompt="Choose from Status_Generic" promptTitle="Status_Generic" showDropDown="false" showErrorMessage="false" showInputMessage="false" sqref="J6:J500" type="list">
      <formula1>Status_Generic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A36"/>
    <pageSetUpPr fitToPage="false"/>
  </sheetPr>
  <dimension ref="A1:K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10" min="9" style="0" width="28"/>
    <col collapsed="false" customWidth="true" hidden="false" outlineLevel="0" max="11" min="11" style="0" width="22"/>
  </cols>
  <sheetData>
    <row r="1" customFormat="false" ht="21.75" hidden="false" customHeight="true" outlineLevel="0" collapsed="false">
      <c r="A1" s="1" t="s">
        <v>402</v>
      </c>
    </row>
    <row r="2" customFormat="false" ht="31.5" hidden="false" customHeight="true" outlineLevel="0" collapsed="false">
      <c r="A2" s="14" t="s">
        <v>403</v>
      </c>
    </row>
    <row r="3" customFormat="false" ht="15" hidden="false" customHeight="false" outlineLevel="0" collapsed="false">
      <c r="A3" s="4" t="s">
        <v>404</v>
      </c>
    </row>
    <row r="4" customFormat="false" ht="37.5" hidden="false" customHeight="true" outlineLevel="0" collapsed="false">
      <c r="A4" s="11" t="s">
        <v>405</v>
      </c>
      <c r="B4" s="11" t="s">
        <v>44</v>
      </c>
      <c r="C4" s="11" t="s">
        <v>231</v>
      </c>
      <c r="D4" s="11" t="s">
        <v>406</v>
      </c>
      <c r="E4" s="11" t="s">
        <v>407</v>
      </c>
      <c r="F4" s="11" t="s">
        <v>68</v>
      </c>
      <c r="G4" s="11" t="s">
        <v>276</v>
      </c>
      <c r="H4" s="11" t="s">
        <v>370</v>
      </c>
      <c r="I4" s="11" t="s">
        <v>408</v>
      </c>
      <c r="J4" s="11" t="s">
        <v>409</v>
      </c>
      <c r="K4" s="11" t="s">
        <v>212</v>
      </c>
    </row>
    <row r="5" customFormat="false" ht="30" hidden="false" customHeight="true" outlineLevel="0" collapsed="false">
      <c r="A5" s="15" t="s">
        <v>410</v>
      </c>
      <c r="B5" s="15" t="s">
        <v>76</v>
      </c>
      <c r="C5" s="15" t="s">
        <v>411</v>
      </c>
      <c r="D5" s="15" t="s">
        <v>412</v>
      </c>
      <c r="E5" s="15" t="s">
        <v>413</v>
      </c>
      <c r="F5" s="15" t="s">
        <v>76</v>
      </c>
      <c r="G5" s="15" t="s">
        <v>80</v>
      </c>
      <c r="H5" s="15" t="s">
        <v>377</v>
      </c>
      <c r="I5" s="15" t="s">
        <v>414</v>
      </c>
      <c r="J5" s="15" t="s">
        <v>415</v>
      </c>
      <c r="K5" s="15" t="s">
        <v>263</v>
      </c>
    </row>
    <row r="6" customFormat="false" ht="15" hidden="false" customHeight="false" outlineLevel="0" collapsed="false">
      <c r="A6" s="16" t="s">
        <v>416</v>
      </c>
      <c r="B6" s="16" t="s">
        <v>87</v>
      </c>
      <c r="C6" s="16"/>
      <c r="D6" s="16" t="s">
        <v>417</v>
      </c>
      <c r="E6" s="16" t="s">
        <v>418</v>
      </c>
      <c r="F6" s="16" t="s">
        <v>33</v>
      </c>
      <c r="G6" s="16" t="s">
        <v>99</v>
      </c>
      <c r="H6" s="16" t="s">
        <v>370</v>
      </c>
      <c r="I6" s="16"/>
      <c r="J6" s="16"/>
      <c r="K6" s="16" t="s">
        <v>227</v>
      </c>
    </row>
    <row r="7" customFormat="false" ht="23.85" hidden="false" customHeight="false" outlineLevel="0" collapsed="false">
      <c r="A7" s="17" t="s">
        <v>419</v>
      </c>
      <c r="B7" s="17"/>
      <c r="C7" s="17"/>
      <c r="D7" s="17" t="s">
        <v>420</v>
      </c>
      <c r="E7" s="17" t="s">
        <v>421</v>
      </c>
      <c r="F7" s="17"/>
      <c r="G7" s="17"/>
      <c r="H7" s="17"/>
      <c r="I7" s="17"/>
      <c r="J7" s="17"/>
      <c r="K7" s="17"/>
    </row>
    <row r="8" customFormat="false" ht="23.85" hidden="false" customHeight="false" outlineLevel="0" collapsed="false">
      <c r="A8" s="18" t="s">
        <v>422</v>
      </c>
      <c r="B8" s="18"/>
      <c r="C8" s="18"/>
      <c r="D8" s="18" t="s">
        <v>423</v>
      </c>
      <c r="E8" s="18" t="s">
        <v>424</v>
      </c>
      <c r="F8" s="18"/>
      <c r="G8" s="18"/>
      <c r="H8" s="18"/>
      <c r="I8" s="18"/>
      <c r="J8" s="18"/>
      <c r="K8" s="18"/>
    </row>
    <row r="9" customFormat="false" ht="23.85" hidden="false" customHeight="false" outlineLevel="0" collapsed="false">
      <c r="A9" s="17" t="s">
        <v>425</v>
      </c>
      <c r="B9" s="17"/>
      <c r="C9" s="17"/>
      <c r="D9" s="17" t="s">
        <v>426</v>
      </c>
      <c r="E9" s="17" t="s">
        <v>427</v>
      </c>
      <c r="F9" s="17"/>
      <c r="G9" s="17"/>
      <c r="H9" s="17"/>
      <c r="I9" s="17"/>
      <c r="J9" s="17"/>
      <c r="K9" s="17"/>
    </row>
    <row r="10" customFormat="false" ht="23.85" hidden="false" customHeight="false" outlineLevel="0" collapsed="false">
      <c r="A10" s="18" t="s">
        <v>428</v>
      </c>
      <c r="B10" s="18"/>
      <c r="C10" s="18"/>
      <c r="D10" s="18" t="s">
        <v>429</v>
      </c>
      <c r="E10" s="18" t="s">
        <v>430</v>
      </c>
      <c r="F10" s="18"/>
      <c r="G10" s="18"/>
      <c r="H10" s="18"/>
      <c r="I10" s="18"/>
      <c r="J10" s="18"/>
      <c r="K10" s="18"/>
    </row>
    <row r="11" customFormat="false" ht="15" hidden="false" customHeight="false" outlineLevel="0" collapsed="false">
      <c r="A11" s="17" t="s">
        <v>431</v>
      </c>
      <c r="B11" s="17"/>
      <c r="C11" s="17"/>
      <c r="D11" s="17" t="s">
        <v>432</v>
      </c>
      <c r="E11" s="17" t="s">
        <v>433</v>
      </c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8" t="s">
        <v>434</v>
      </c>
      <c r="B12" s="18"/>
      <c r="C12" s="18"/>
      <c r="D12" s="18" t="s">
        <v>435</v>
      </c>
      <c r="E12" s="18" t="s">
        <v>436</v>
      </c>
      <c r="F12" s="18"/>
      <c r="G12" s="18"/>
      <c r="H12" s="18"/>
      <c r="I12" s="18"/>
      <c r="J12" s="18"/>
      <c r="K12" s="18"/>
    </row>
    <row r="13" customFormat="false" ht="23.85" hidden="false" customHeight="false" outlineLevel="0" collapsed="false">
      <c r="A13" s="17" t="s">
        <v>437</v>
      </c>
      <c r="B13" s="17"/>
      <c r="C13" s="17"/>
      <c r="D13" s="17" t="s">
        <v>438</v>
      </c>
      <c r="E13" s="17" t="s">
        <v>439</v>
      </c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</sheetData>
  <dataValidations count="2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Status_QA" promptTitle="Status_QA" showDropDown="false" showErrorMessage="false" showInputMessage="false" sqref="F6:F500" type="list">
      <formula1>Status_QA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A36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28"/>
  </cols>
  <sheetData>
    <row r="1" customFormat="false" ht="21.75" hidden="false" customHeight="true" outlineLevel="0" collapsed="false">
      <c r="A1" s="1" t="s">
        <v>440</v>
      </c>
    </row>
    <row r="2" customFormat="false" ht="31.5" hidden="false" customHeight="true" outlineLevel="0" collapsed="false">
      <c r="A2" s="14" t="s">
        <v>441</v>
      </c>
    </row>
    <row r="3" customFormat="false" ht="15" hidden="false" customHeight="false" outlineLevel="0" collapsed="false">
      <c r="A3" s="4" t="s">
        <v>442</v>
      </c>
    </row>
    <row r="4" customFormat="false" ht="37.5" hidden="false" customHeight="true" outlineLevel="0" collapsed="false">
      <c r="A4" s="11" t="s">
        <v>443</v>
      </c>
      <c r="B4" s="11" t="s">
        <v>44</v>
      </c>
      <c r="C4" s="11" t="s">
        <v>444</v>
      </c>
      <c r="D4" s="11" t="s">
        <v>248</v>
      </c>
      <c r="E4" s="11" t="s">
        <v>445</v>
      </c>
      <c r="F4" s="11" t="s">
        <v>446</v>
      </c>
      <c r="G4" s="11" t="s">
        <v>68</v>
      </c>
      <c r="H4" s="11" t="s">
        <v>447</v>
      </c>
      <c r="I4" s="11" t="s">
        <v>212</v>
      </c>
    </row>
    <row r="5" customFormat="false" ht="30" hidden="false" customHeight="true" outlineLevel="0" collapsed="false">
      <c r="A5" s="15" t="s">
        <v>448</v>
      </c>
      <c r="B5" s="15" t="s">
        <v>76</v>
      </c>
      <c r="C5" s="15" t="s">
        <v>449</v>
      </c>
      <c r="D5" s="15" t="s">
        <v>450</v>
      </c>
      <c r="E5" s="15" t="s">
        <v>80</v>
      </c>
      <c r="F5" s="15" t="s">
        <v>451</v>
      </c>
      <c r="G5" s="15" t="s">
        <v>76</v>
      </c>
      <c r="H5" s="15" t="s">
        <v>452</v>
      </c>
      <c r="I5" s="15" t="s">
        <v>263</v>
      </c>
    </row>
    <row r="6" customFormat="false" ht="15" hidden="false" customHeight="false" outlineLevel="0" collapsed="false">
      <c r="A6" s="18" t="s">
        <v>453</v>
      </c>
      <c r="B6" s="18"/>
      <c r="C6" s="18" t="s">
        <v>454</v>
      </c>
      <c r="D6" s="18"/>
      <c r="E6" s="18"/>
      <c r="F6" s="18"/>
      <c r="G6" s="18"/>
      <c r="H6" s="18"/>
      <c r="I6" s="18"/>
    </row>
    <row r="7" customFormat="false" ht="15" hidden="false" customHeight="false" outlineLevel="0" collapsed="false">
      <c r="A7" s="17" t="s">
        <v>455</v>
      </c>
      <c r="B7" s="17"/>
      <c r="C7" s="17" t="s">
        <v>456</v>
      </c>
      <c r="D7" s="17"/>
      <c r="E7" s="17"/>
      <c r="F7" s="17"/>
      <c r="G7" s="17"/>
      <c r="H7" s="17"/>
      <c r="I7" s="17"/>
    </row>
    <row r="8" customFormat="false" ht="15" hidden="false" customHeight="false" outlineLevel="0" collapsed="false">
      <c r="A8" s="18" t="s">
        <v>457</v>
      </c>
      <c r="B8" s="18"/>
      <c r="C8" s="18" t="s">
        <v>458</v>
      </c>
      <c r="D8" s="18"/>
      <c r="E8" s="18"/>
      <c r="F8" s="18"/>
      <c r="G8" s="18"/>
      <c r="H8" s="18"/>
      <c r="I8" s="18"/>
    </row>
    <row r="9" customFormat="false" ht="15" hidden="false" customHeight="false" outlineLevel="0" collapsed="false">
      <c r="A9" s="17" t="s">
        <v>459</v>
      </c>
      <c r="B9" s="17"/>
      <c r="C9" s="17" t="s">
        <v>460</v>
      </c>
      <c r="D9" s="17"/>
      <c r="E9" s="17"/>
      <c r="F9" s="17"/>
      <c r="G9" s="17"/>
      <c r="H9" s="17"/>
      <c r="I9" s="17"/>
    </row>
    <row r="10" customFormat="false" ht="15" hidden="false" customHeight="false" outlineLevel="0" collapsed="false">
      <c r="A10" s="18" t="s">
        <v>461</v>
      </c>
      <c r="B10" s="18"/>
      <c r="C10" s="18" t="s">
        <v>462</v>
      </c>
      <c r="D10" s="18"/>
      <c r="E10" s="18"/>
      <c r="F10" s="18"/>
      <c r="G10" s="18"/>
      <c r="H10" s="18"/>
      <c r="I10" s="18"/>
    </row>
    <row r="11" customFormat="false" ht="15" hidden="false" customHeight="false" outlineLevel="0" collapsed="false">
      <c r="A11" s="17" t="s">
        <v>463</v>
      </c>
      <c r="B11" s="17"/>
      <c r="C11" s="17" t="s">
        <v>438</v>
      </c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>
      <c r="A12" s="18" t="s">
        <v>464</v>
      </c>
      <c r="B12" s="18"/>
      <c r="C12" s="18" t="s">
        <v>465</v>
      </c>
      <c r="D12" s="18"/>
      <c r="E12" s="18"/>
      <c r="F12" s="18"/>
      <c r="G12" s="18"/>
      <c r="H12" s="18"/>
      <c r="I12" s="18"/>
    </row>
    <row r="13" customFormat="false" ht="15" hidden="false" customHeight="false" outlineLevel="0" collapsed="false">
      <c r="A13" s="17" t="s">
        <v>466</v>
      </c>
      <c r="B13" s="17"/>
      <c r="C13" s="17" t="s">
        <v>467</v>
      </c>
      <c r="D13" s="17"/>
      <c r="E13" s="17"/>
      <c r="F13" s="17"/>
      <c r="G13" s="17"/>
      <c r="H13" s="17"/>
      <c r="I13" s="17"/>
    </row>
    <row r="14" customFormat="false" ht="15" hidden="false" customHeight="false" outlineLevel="0" collapsed="false">
      <c r="A14" s="18" t="s">
        <v>468</v>
      </c>
      <c r="B14" s="18"/>
      <c r="C14" s="18" t="s">
        <v>469</v>
      </c>
      <c r="D14" s="18"/>
      <c r="E14" s="18"/>
      <c r="F14" s="18"/>
      <c r="G14" s="18"/>
      <c r="H14" s="18"/>
      <c r="I14" s="18"/>
    </row>
    <row r="15" customFormat="false" ht="15" hidden="false" customHeight="false" outlineLevel="0" collapsed="false">
      <c r="A15" s="17" t="s">
        <v>470</v>
      </c>
      <c r="B15" s="17"/>
      <c r="C15" s="17" t="s">
        <v>471</v>
      </c>
      <c r="D15" s="17"/>
      <c r="E15" s="17"/>
      <c r="F15" s="17"/>
      <c r="G15" s="17"/>
      <c r="H15" s="17"/>
      <c r="I15" s="17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8"/>
      <c r="G60" s="18"/>
      <c r="H60" s="18"/>
      <c r="I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8"/>
      <c r="G62" s="18"/>
      <c r="H62" s="18"/>
      <c r="I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8"/>
      <c r="G64" s="18"/>
      <c r="H64" s="18"/>
      <c r="I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8"/>
      <c r="G66" s="18"/>
      <c r="H66" s="18"/>
      <c r="I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8"/>
      <c r="G68" s="18"/>
      <c r="H68" s="18"/>
      <c r="I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8"/>
      <c r="G70" s="18"/>
      <c r="H70" s="18"/>
      <c r="I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/>
      <c r="H72" s="18"/>
      <c r="I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8"/>
      <c r="G80" s="18"/>
      <c r="H80" s="18"/>
      <c r="I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8"/>
      <c r="G82" s="18"/>
      <c r="H82" s="18"/>
      <c r="I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8"/>
      <c r="G84" s="18"/>
      <c r="H84" s="18"/>
      <c r="I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</row>
  </sheetData>
  <dataValidations count="2">
    <dataValidation allowBlank="true" error="Pick from the list or extend on the Lookups tab." errorStyle="stop" errorTitle="Not in list" operator="between" prompt="Choose from Courses" promptTitle="Courses" showDropDown="false" showErrorMessage="false" showInputMessage="false" sqref="B6:B500" type="list">
      <formula1>Courses</formula1>
      <formula2>0</formula2>
    </dataValidation>
    <dataValidation allowBlank="true" error="Pick from the list or extend on the Lookups tab." errorStyle="stop" errorTitle="Not in list" operator="between" prompt="Choose from Status_Generic" promptTitle="Status_Generic" showDropDown="false" showErrorMessage="false" showInputMessage="false" sqref="G6:G500" type="list">
      <formula1>Status_Generic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8" t="s">
        <v>472</v>
      </c>
      <c r="B1" s="8" t="s">
        <v>473</v>
      </c>
      <c r="C1" s="8" t="s">
        <v>474</v>
      </c>
      <c r="D1" s="8" t="s">
        <v>475</v>
      </c>
      <c r="E1" s="8" t="s">
        <v>476</v>
      </c>
      <c r="F1" s="8" t="s">
        <v>477</v>
      </c>
      <c r="G1" s="8" t="s">
        <v>478</v>
      </c>
      <c r="H1" s="8" t="s">
        <v>237</v>
      </c>
      <c r="I1" s="8" t="s">
        <v>58</v>
      </c>
      <c r="J1" s="8" t="s">
        <v>479</v>
      </c>
      <c r="K1" s="8" t="s">
        <v>480</v>
      </c>
      <c r="L1" s="8" t="s">
        <v>481</v>
      </c>
      <c r="M1" s="8" t="s">
        <v>482</v>
      </c>
      <c r="N1" s="8" t="s">
        <v>483</v>
      </c>
      <c r="O1" s="8" t="s">
        <v>484</v>
      </c>
      <c r="P1" s="8" t="s">
        <v>485</v>
      </c>
      <c r="Q1" s="8" t="s">
        <v>486</v>
      </c>
    </row>
    <row r="2" customFormat="false" ht="15" hidden="false" customHeight="false" outlineLevel="0" collapsed="false">
      <c r="A2" s="0" t="s">
        <v>87</v>
      </c>
      <c r="B2" s="0" t="s">
        <v>32</v>
      </c>
      <c r="C2" s="0" t="s">
        <v>98</v>
      </c>
      <c r="D2" s="0" t="s">
        <v>487</v>
      </c>
      <c r="E2" s="0" t="s">
        <v>488</v>
      </c>
      <c r="F2" s="0" t="s">
        <v>33</v>
      </c>
      <c r="G2" s="0" t="s">
        <v>265</v>
      </c>
      <c r="H2" s="0" t="s">
        <v>489</v>
      </c>
      <c r="I2" s="0" t="s">
        <v>91</v>
      </c>
      <c r="J2" s="0" t="s">
        <v>222</v>
      </c>
      <c r="K2" s="0" t="s">
        <v>223</v>
      </c>
      <c r="L2" s="0" t="s">
        <v>399</v>
      </c>
      <c r="M2" s="0" t="s">
        <v>382</v>
      </c>
      <c r="N2" s="0" t="s">
        <v>385</v>
      </c>
      <c r="O2" s="0" t="s">
        <v>332</v>
      </c>
      <c r="P2" s="0" t="s">
        <v>316</v>
      </c>
      <c r="Q2" s="0" t="s">
        <v>292</v>
      </c>
    </row>
    <row r="3" customFormat="false" ht="15" hidden="false" customHeight="false" outlineLevel="0" collapsed="false">
      <c r="A3" s="0" t="s">
        <v>490</v>
      </c>
      <c r="B3" s="0" t="s">
        <v>34</v>
      </c>
      <c r="C3" s="0" t="s">
        <v>491</v>
      </c>
      <c r="D3" s="0" t="s">
        <v>226</v>
      </c>
      <c r="E3" s="0" t="s">
        <v>33</v>
      </c>
      <c r="F3" s="0" t="s">
        <v>35</v>
      </c>
      <c r="G3" s="0" t="s">
        <v>492</v>
      </c>
      <c r="H3" s="0" t="s">
        <v>493</v>
      </c>
      <c r="I3" s="0" t="s">
        <v>494</v>
      </c>
      <c r="J3" s="0" t="s">
        <v>495</v>
      </c>
      <c r="K3" s="0" t="s">
        <v>270</v>
      </c>
      <c r="L3" s="0" t="s">
        <v>271</v>
      </c>
      <c r="M3" s="0" t="s">
        <v>496</v>
      </c>
      <c r="N3" s="0" t="s">
        <v>497</v>
      </c>
      <c r="O3" s="0" t="s">
        <v>498</v>
      </c>
      <c r="P3" s="0" t="s">
        <v>499</v>
      </c>
      <c r="Q3" s="0" t="s">
        <v>500</v>
      </c>
    </row>
    <row r="4" customFormat="false" ht="15" hidden="false" customHeight="false" outlineLevel="0" collapsed="false">
      <c r="B4" s="0" t="s">
        <v>36</v>
      </c>
      <c r="C4" s="0" t="s">
        <v>501</v>
      </c>
      <c r="D4" s="0" t="s">
        <v>502</v>
      </c>
      <c r="E4" s="0" t="s">
        <v>35</v>
      </c>
      <c r="F4" s="0" t="s">
        <v>37</v>
      </c>
      <c r="G4" s="0" t="s">
        <v>503</v>
      </c>
      <c r="H4" s="0" t="s">
        <v>504</v>
      </c>
      <c r="I4" s="0" t="s">
        <v>505</v>
      </c>
      <c r="J4" s="0" t="s">
        <v>506</v>
      </c>
      <c r="K4" s="0" t="s">
        <v>93</v>
      </c>
      <c r="L4" s="0" t="s">
        <v>507</v>
      </c>
      <c r="N4" s="0" t="s">
        <v>39</v>
      </c>
      <c r="O4" s="0" t="s">
        <v>508</v>
      </c>
      <c r="P4" s="0" t="s">
        <v>509</v>
      </c>
      <c r="Q4" s="0" t="s">
        <v>510</v>
      </c>
    </row>
    <row r="5" customFormat="false" ht="15" hidden="false" customHeight="false" outlineLevel="0" collapsed="false">
      <c r="B5" s="0" t="s">
        <v>38</v>
      </c>
      <c r="C5" s="0" t="s">
        <v>511</v>
      </c>
      <c r="D5" s="0" t="s">
        <v>512</v>
      </c>
      <c r="E5" s="0" t="s">
        <v>513</v>
      </c>
      <c r="F5" s="0" t="s">
        <v>39</v>
      </c>
      <c r="G5" s="0" t="s">
        <v>514</v>
      </c>
      <c r="H5" s="0" t="s">
        <v>515</v>
      </c>
      <c r="I5" s="0" t="s">
        <v>516</v>
      </c>
      <c r="J5" s="0" t="s">
        <v>517</v>
      </c>
      <c r="K5" s="0" t="s">
        <v>518</v>
      </c>
      <c r="L5" s="0" t="s">
        <v>519</v>
      </c>
      <c r="O5" s="0" t="s">
        <v>520</v>
      </c>
      <c r="P5" s="0" t="s">
        <v>521</v>
      </c>
      <c r="Q5" s="0" t="s">
        <v>522</v>
      </c>
    </row>
    <row r="6" customFormat="false" ht="15" hidden="false" customHeight="false" outlineLevel="0" collapsed="false">
      <c r="B6" s="0" t="s">
        <v>40</v>
      </c>
      <c r="C6" s="0" t="s">
        <v>523</v>
      </c>
      <c r="D6" s="0" t="s">
        <v>524</v>
      </c>
      <c r="G6" s="0" t="s">
        <v>525</v>
      </c>
      <c r="H6" s="0" t="s">
        <v>526</v>
      </c>
      <c r="I6" s="0" t="s">
        <v>527</v>
      </c>
      <c r="J6" s="0" t="s">
        <v>528</v>
      </c>
      <c r="L6" s="0" t="s">
        <v>529</v>
      </c>
      <c r="O6" s="0" t="s">
        <v>530</v>
      </c>
      <c r="P6" s="0" t="s">
        <v>531</v>
      </c>
      <c r="Q6" s="0" t="s">
        <v>532</v>
      </c>
    </row>
    <row r="7" customFormat="false" ht="15" hidden="false" customHeight="false" outlineLevel="0" collapsed="false">
      <c r="B7" s="0" t="s">
        <v>41</v>
      </c>
      <c r="G7" s="0" t="s">
        <v>533</v>
      </c>
      <c r="H7" s="0" t="s">
        <v>534</v>
      </c>
      <c r="I7" s="0" t="s">
        <v>535</v>
      </c>
      <c r="J7" s="0" t="s">
        <v>536</v>
      </c>
      <c r="L7" s="0" t="s">
        <v>537</v>
      </c>
      <c r="O7" s="0" t="s">
        <v>538</v>
      </c>
      <c r="P7" s="0" t="s">
        <v>539</v>
      </c>
      <c r="Q7" s="0" t="s">
        <v>540</v>
      </c>
    </row>
    <row r="8" customFormat="false" ht="15" hidden="false" customHeight="false" outlineLevel="0" collapsed="false">
      <c r="B8" s="0" t="s">
        <v>42</v>
      </c>
      <c r="G8" s="0" t="s">
        <v>541</v>
      </c>
      <c r="H8" s="0" t="s">
        <v>542</v>
      </c>
      <c r="O8" s="0" t="s">
        <v>543</v>
      </c>
      <c r="P8" s="0" t="s">
        <v>544</v>
      </c>
      <c r="Q8" s="0" t="s">
        <v>545</v>
      </c>
    </row>
    <row r="9" customFormat="false" ht="15" hidden="false" customHeight="false" outlineLevel="0" collapsed="false">
      <c r="G9" s="0" t="s">
        <v>332</v>
      </c>
      <c r="H9" s="0" t="s">
        <v>268</v>
      </c>
      <c r="O9" s="0" t="s">
        <v>546</v>
      </c>
      <c r="P9" s="0" t="s">
        <v>547</v>
      </c>
    </row>
    <row r="10" customFormat="false" ht="15" hidden="false" customHeight="false" outlineLevel="0" collapsed="false">
      <c r="G10" s="0" t="s">
        <v>548</v>
      </c>
      <c r="H10" s="0" t="s">
        <v>549</v>
      </c>
      <c r="O10" s="0" t="s">
        <v>550</v>
      </c>
      <c r="P10" s="0" t="s">
        <v>551</v>
      </c>
    </row>
    <row r="11" customFormat="false" ht="15" hidden="false" customHeight="false" outlineLevel="0" collapsed="false">
      <c r="G11" s="0" t="s">
        <v>531</v>
      </c>
      <c r="H11" s="0" t="s">
        <v>552</v>
      </c>
      <c r="O11" s="0" t="s">
        <v>553</v>
      </c>
      <c r="P11" s="0" t="s">
        <v>554</v>
      </c>
    </row>
    <row r="12" customFormat="false" ht="15" hidden="false" customHeight="false" outlineLevel="0" collapsed="false">
      <c r="G12" s="0" t="s">
        <v>555</v>
      </c>
      <c r="O12" s="0" t="s">
        <v>556</v>
      </c>
      <c r="P12" s="0" t="s">
        <v>552</v>
      </c>
    </row>
    <row r="13" customFormat="false" ht="15" hidden="false" customHeight="false" outlineLevel="0" collapsed="false">
      <c r="G13" s="0" t="s">
        <v>509</v>
      </c>
      <c r="O13" s="0" t="s">
        <v>531</v>
      </c>
    </row>
    <row r="14" customFormat="false" ht="15" hidden="false" customHeight="false" outlineLevel="0" collapsed="false">
      <c r="G14" s="0" t="s">
        <v>557</v>
      </c>
      <c r="O14" s="0" t="s">
        <v>551</v>
      </c>
    </row>
    <row r="15" customFormat="false" ht="15" hidden="false" customHeight="false" outlineLevel="0" collapsed="false">
      <c r="G15" s="0" t="s">
        <v>558</v>
      </c>
      <c r="O15" s="0" t="s">
        <v>559</v>
      </c>
    </row>
    <row r="16" customFormat="false" ht="15" hidden="false" customHeight="false" outlineLevel="0" collapsed="false">
      <c r="G16" s="0" t="s">
        <v>560</v>
      </c>
      <c r="O16" s="0" t="s">
        <v>552</v>
      </c>
    </row>
    <row r="17" customFormat="false" ht="15" hidden="false" customHeight="false" outlineLevel="0" collapsed="false">
      <c r="G17" s="0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2026-05-29T16:43:20Z</dcterms:created>
  <dc:creator>openpyxl</dc:creator>
  <dc:description/>
  <dc:language>en-US</dc:language>
  <cp:lastModifiedBy/>
  <dcterms:modified xsi:type="dcterms:W3CDTF">2026-05-29T16:43:21Z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